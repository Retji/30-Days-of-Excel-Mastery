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C\BI\Excel\30 Days of Excel Mastery\"/>
    </mc:Choice>
  </mc:AlternateContent>
  <xr:revisionPtr revIDLastSave="0" documentId="13_ncr:1_{4A45E4DB-AEBB-4BCB-B444-68C795D2DDB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structions" sheetId="2" r:id="rId1"/>
    <sheet name="Expense_Data" sheetId="1" r:id="rId2"/>
    <sheet name="Expense_Data Completed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2" i="3"/>
</calcChain>
</file>

<file path=xl/sharedStrings.xml><?xml version="1.0" encoding="utf-8"?>
<sst xmlns="http://schemas.openxmlformats.org/spreadsheetml/2006/main" count="3842" uniqueCount="53">
  <si>
    <t>Department</t>
  </si>
  <si>
    <t>Category</t>
  </si>
  <si>
    <t>Month</t>
  </si>
  <si>
    <t>Planned Budget ($)</t>
  </si>
  <si>
    <t>Actual Spend ($)</t>
  </si>
  <si>
    <t>Notes</t>
  </si>
  <si>
    <t>HR</t>
  </si>
  <si>
    <t>Sales</t>
  </si>
  <si>
    <t>Logistics</t>
  </si>
  <si>
    <t>IT</t>
  </si>
  <si>
    <t>Marketing</t>
  </si>
  <si>
    <t>Operations</t>
  </si>
  <si>
    <t>Finance</t>
  </si>
  <si>
    <t>Travel</t>
  </si>
  <si>
    <t>Supplies</t>
  </si>
  <si>
    <t>Training</t>
  </si>
  <si>
    <t>Consulting</t>
  </si>
  <si>
    <t>Software</t>
  </si>
  <si>
    <t>Equipment</t>
  </si>
  <si>
    <t>Events</t>
  </si>
  <si>
    <t>October</t>
  </si>
  <si>
    <t>May</t>
  </si>
  <si>
    <t>July</t>
  </si>
  <si>
    <t>September</t>
  </si>
  <si>
    <t>February</t>
  </si>
  <si>
    <t>August</t>
  </si>
  <si>
    <t>November</t>
  </si>
  <si>
    <t>December</t>
  </si>
  <si>
    <t>June</t>
  </si>
  <si>
    <t>January</t>
  </si>
  <si>
    <t>April</t>
  </si>
  <si>
    <t>March</t>
  </si>
  <si>
    <t>Urgent need</t>
  </si>
  <si>
    <t>Overspend</t>
  </si>
  <si>
    <t>Delayed approval</t>
  </si>
  <si>
    <t>Refund expected</t>
  </si>
  <si>
    <t>DAY 07 – PRACTICE PROJECT: EXPENSE REPORT</t>
  </si>
  <si>
    <t>You're a manager trying to track which departments are spending wisely and which are going over budget.</t>
  </si>
  <si>
    <t>Use the data in the next sheet to:</t>
  </si>
  <si>
    <t>1. Create a new column called 'Budget Status' that shows if a department is:</t>
  </si>
  <si>
    <t xml:space="preserve">   - On Budget (Actual Spend ≤ Planned Budget)</t>
  </si>
  <si>
    <t xml:space="preserve">   - Over Budget (Actual Spend &gt; Planned Budget)</t>
  </si>
  <si>
    <t>2. Create a pivot table that summarizes total planned vs actual spend by department.</t>
  </si>
  <si>
    <t>3. Add a chart to visualize the differences between planned and actual spend per department.</t>
  </si>
  <si>
    <t>4. Use conditional formatting to highlight rows where overspend exceeds 20% of planned budget.</t>
  </si>
  <si>
    <t>5. Optional: Add data bars to show actual spend across all rows.</t>
  </si>
  <si>
    <t>Have fun!</t>
  </si>
  <si>
    <t>Budget Status</t>
  </si>
  <si>
    <t>Grand Total</t>
  </si>
  <si>
    <t>Total Planned Budget ($)</t>
  </si>
  <si>
    <t>Total Actual Spend ($)</t>
  </si>
  <si>
    <t>Departments</t>
  </si>
  <si>
    <t>Formula1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</si>
</sst>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65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4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12.414085300923" createdVersion="7" refreshedVersion="7" minRefreshableVersion="3" recordCount="500" xr:uid="{64027CF2-785E-4011-9F6E-320C1A7D5A5C}">
  <cacheSource type="worksheet">
    <worksheetSource ref="A1:G501" sheet="Expense_Data Completed"/>
  </cacheSource>
  <cacheFields count="7">
    <cacheField name="Department" numFmtId="0">
      <sharedItems count="8">
        <s v="HR"/>
        <s v="Sales"/>
        <s v="Logistics"/>
        <s v="IT"/>
        <s v="Marketing"/>
        <s v="Operations"/>
        <s v="Finance"/>
        <s v="Formula1" f="1"/>
      </sharedItems>
    </cacheField>
    <cacheField name="Category" numFmtId="0">
      <sharedItems/>
    </cacheField>
    <cacheField name="Month" numFmtId="0">
      <sharedItems/>
    </cacheField>
    <cacheField name="Planned Budget ($)" numFmtId="0">
      <sharedItems containsSemiMixedTypes="0" containsString="0" containsNumber="1" containsInteger="1" minValue="1055" maxValue="9986" count="487">
        <n v="8741"/>
        <n v="9315"/>
        <n v="5713"/>
        <n v="4220"/>
        <n v="8871"/>
        <n v="6152"/>
        <n v="9906"/>
        <n v="9187"/>
        <n v="9113"/>
        <n v="2972"/>
        <n v="4703"/>
        <n v="2819"/>
        <n v="2687"/>
        <n v="3954"/>
        <n v="1888"/>
        <n v="3935"/>
        <n v="6457"/>
        <n v="3214"/>
        <n v="6642"/>
        <n v="4614"/>
        <n v="9247"/>
        <n v="6442"/>
        <n v="6248"/>
        <n v="6425"/>
        <n v="8014"/>
        <n v="9917"/>
        <n v="4233"/>
        <n v="5695"/>
        <n v="3664"/>
        <n v="1258"/>
        <n v="9474"/>
        <n v="9453"/>
        <n v="5022"/>
        <n v="3187"/>
        <n v="5157"/>
        <n v="6167"/>
        <n v="3598"/>
        <n v="8265"/>
        <n v="2556"/>
        <n v="6507"/>
        <n v="9888"/>
        <n v="8748"/>
        <n v="1573"/>
        <n v="7863"/>
        <n v="4248"/>
        <n v="6213"/>
        <n v="8844"/>
        <n v="8654"/>
        <n v="3669"/>
        <n v="3812"/>
        <n v="3672"/>
        <n v="4800"/>
        <n v="6962"/>
        <n v="4645"/>
        <n v="6405"/>
        <n v="2393"/>
        <n v="9374"/>
        <n v="5880"/>
        <n v="2744"/>
        <n v="2488"/>
        <n v="2612"/>
        <n v="3303"/>
        <n v="2330"/>
        <n v="1538"/>
        <n v="7388"/>
        <n v="4749"/>
        <n v="6593"/>
        <n v="7024"/>
        <n v="3241"/>
        <n v="3719"/>
        <n v="7702"/>
        <n v="4486"/>
        <n v="2756"/>
        <n v="3915"/>
        <n v="7072"/>
        <n v="2200"/>
        <n v="5273"/>
        <n v="1218"/>
        <n v="2161"/>
        <n v="8194"/>
        <n v="9116"/>
        <n v="9595"/>
        <n v="1068"/>
        <n v="5069"/>
        <n v="9975"/>
        <n v="9193"/>
        <n v="7586"/>
        <n v="3579"/>
        <n v="1352"/>
        <n v="1963"/>
        <n v="4160"/>
        <n v="8651"/>
        <n v="8153"/>
        <n v="6888"/>
        <n v="5089"/>
        <n v="6400"/>
        <n v="4348"/>
        <n v="3871"/>
        <n v="2588"/>
        <n v="5419"/>
        <n v="6484"/>
        <n v="2824"/>
        <n v="3283"/>
        <n v="1385"/>
        <n v="5925"/>
        <n v="4713"/>
        <n v="9681"/>
        <n v="3056"/>
        <n v="2839"/>
        <n v="8899"/>
        <n v="4949"/>
        <n v="6496"/>
        <n v="8018"/>
        <n v="1923"/>
        <n v="1159"/>
        <n v="1952"/>
        <n v="3819"/>
        <n v="2063"/>
        <n v="1566"/>
        <n v="3485"/>
        <n v="9141"/>
        <n v="3619"/>
        <n v="1302"/>
        <n v="1816"/>
        <n v="2553"/>
        <n v="8243"/>
        <n v="6346"/>
        <n v="3615"/>
        <n v="5399"/>
        <n v="5806"/>
        <n v="1837"/>
        <n v="1585"/>
        <n v="4704"/>
        <n v="6386"/>
        <n v="7733"/>
        <n v="4382"/>
        <n v="7398"/>
        <n v="9867"/>
        <n v="8813"/>
        <n v="7276"/>
        <n v="8998"/>
        <n v="1274"/>
        <n v="5123"/>
        <n v="7064"/>
        <n v="8321"/>
        <n v="5624"/>
        <n v="3363"/>
        <n v="3860"/>
        <n v="6061"/>
        <n v="8470"/>
        <n v="6850"/>
        <n v="6963"/>
        <n v="8235"/>
        <n v="4770"/>
        <n v="6281"/>
        <n v="6818"/>
        <n v="7068"/>
        <n v="8822"/>
        <n v="3336"/>
        <n v="3291"/>
        <n v="9356"/>
        <n v="4391"/>
        <n v="1408"/>
        <n v="7553"/>
        <n v="3548"/>
        <n v="8189"/>
        <n v="3517"/>
        <n v="9821"/>
        <n v="5878"/>
        <n v="9986"/>
        <n v="1973"/>
        <n v="5981"/>
        <n v="9540"/>
        <n v="6631"/>
        <n v="3737"/>
        <n v="4941"/>
        <n v="7569"/>
        <n v="8282"/>
        <n v="5707"/>
        <n v="9793"/>
        <n v="5682"/>
        <n v="6208"/>
        <n v="2120"/>
        <n v="7404"/>
        <n v="8616"/>
        <n v="7610"/>
        <n v="8538"/>
        <n v="2560"/>
        <n v="1505"/>
        <n v="8673"/>
        <n v="6222"/>
        <n v="4392"/>
        <n v="9217"/>
        <n v="5890"/>
        <n v="5854"/>
        <n v="8987"/>
        <n v="5671"/>
        <n v="7645"/>
        <n v="4069"/>
        <n v="9969"/>
        <n v="8571"/>
        <n v="2317"/>
        <n v="6392"/>
        <n v="4259"/>
        <n v="8774"/>
        <n v="1581"/>
        <n v="1411"/>
        <n v="2510"/>
        <n v="3999"/>
        <n v="3437"/>
        <n v="2037"/>
        <n v="4731"/>
        <n v="4308"/>
        <n v="4627"/>
        <n v="6862"/>
        <n v="7844"/>
        <n v="2516"/>
        <n v="1092"/>
        <n v="8416"/>
        <n v="2566"/>
        <n v="2370"/>
        <n v="3482"/>
        <n v="3696"/>
        <n v="3146"/>
        <n v="5311"/>
        <n v="6783"/>
        <n v="3051"/>
        <n v="7063"/>
        <n v="1725"/>
        <n v="5794"/>
        <n v="9028"/>
        <n v="8956"/>
        <n v="9697"/>
        <n v="5137"/>
        <n v="5909"/>
        <n v="4461"/>
        <n v="5403"/>
        <n v="4296"/>
        <n v="4887"/>
        <n v="7503"/>
        <n v="4565"/>
        <n v="7684"/>
        <n v="7222"/>
        <n v="4850"/>
        <n v="9903"/>
        <n v="8977"/>
        <n v="5480"/>
        <n v="5162"/>
        <n v="1988"/>
        <n v="8505"/>
        <n v="8322"/>
        <n v="5889"/>
        <n v="3770"/>
        <n v="5971"/>
        <n v="8040"/>
        <n v="6994"/>
        <n v="5914"/>
        <n v="3620"/>
        <n v="7143"/>
        <n v="9061"/>
        <n v="7272"/>
        <n v="1144"/>
        <n v="1574"/>
        <n v="2273"/>
        <n v="6168"/>
        <n v="4358"/>
        <n v="4347"/>
        <n v="7245"/>
        <n v="4638"/>
        <n v="9234"/>
        <n v="5092"/>
        <n v="2595"/>
        <n v="4919"/>
        <n v="8499"/>
        <n v="5447"/>
        <n v="7438"/>
        <n v="7425"/>
        <n v="2187"/>
        <n v="7166"/>
        <n v="4089"/>
        <n v="6958"/>
        <n v="4206"/>
        <n v="7470"/>
        <n v="3486"/>
        <n v="3380"/>
        <n v="7076"/>
        <n v="7142"/>
        <n v="4696"/>
        <n v="1982"/>
        <n v="9021"/>
        <n v="9394"/>
        <n v="5689"/>
        <n v="9149"/>
        <n v="3361"/>
        <n v="5020"/>
        <n v="1954"/>
        <n v="6913"/>
        <n v="6517"/>
        <n v="1265"/>
        <n v="8440"/>
        <n v="4695"/>
        <n v="1201"/>
        <n v="6342"/>
        <n v="2290"/>
        <n v="2009"/>
        <n v="1128"/>
        <n v="6923"/>
        <n v="6466"/>
        <n v="4810"/>
        <n v="7504"/>
        <n v="5453"/>
        <n v="5260"/>
        <n v="2631"/>
        <n v="9503"/>
        <n v="4136"/>
        <n v="2551"/>
        <n v="8398"/>
        <n v="2378"/>
        <n v="6800"/>
        <n v="6741"/>
        <n v="4869"/>
        <n v="7794"/>
        <n v="6725"/>
        <n v="7253"/>
        <n v="4402"/>
        <n v="5653"/>
        <n v="4482"/>
        <n v="7993"/>
        <n v="7206"/>
        <n v="3716"/>
        <n v="9273"/>
        <n v="4778"/>
        <n v="7568"/>
        <n v="2025"/>
        <n v="2779"/>
        <n v="3275"/>
        <n v="8907"/>
        <n v="1223"/>
        <n v="6720"/>
        <n v="6063"/>
        <n v="8814"/>
        <n v="4954"/>
        <n v="6124"/>
        <n v="7464"/>
        <n v="1530"/>
        <n v="5043"/>
        <n v="5212"/>
        <n v="5263"/>
        <n v="2761"/>
        <n v="9834"/>
        <n v="5131"/>
        <n v="8699"/>
        <n v="6761"/>
        <n v="6598"/>
        <n v="9414"/>
        <n v="6959"/>
        <n v="5843"/>
        <n v="9347"/>
        <n v="1986"/>
        <n v="9305"/>
        <n v="3396"/>
        <n v="8334"/>
        <n v="6860"/>
        <n v="1074"/>
        <n v="9798"/>
        <n v="2247"/>
        <n v="7041"/>
        <n v="4141"/>
        <n v="5574"/>
        <n v="4501"/>
        <n v="7364"/>
        <n v="4512"/>
        <n v="4578"/>
        <n v="8709"/>
        <n v="3364"/>
        <n v="2367"/>
        <n v="3071"/>
        <n v="4497"/>
        <n v="1322"/>
        <n v="4410"/>
        <n v="6712"/>
        <n v="8485"/>
        <n v="7732"/>
        <n v="3159"/>
        <n v="4336"/>
        <n v="3184"/>
        <n v="4494"/>
        <n v="8721"/>
        <n v="9237"/>
        <n v="4808"/>
        <n v="9600"/>
        <n v="8701"/>
        <n v="1394"/>
        <n v="1146"/>
        <n v="3150"/>
        <n v="1765"/>
        <n v="3131"/>
        <n v="6008"/>
        <n v="8732"/>
        <n v="1593"/>
        <n v="1834"/>
        <n v="3112"/>
        <n v="3309"/>
        <n v="6369"/>
        <n v="5681"/>
        <n v="2843"/>
        <n v="8661"/>
        <n v="5788"/>
        <n v="9496"/>
        <n v="5345"/>
        <n v="8724"/>
        <n v="4820"/>
        <n v="1143"/>
        <n v="9391"/>
        <n v="8746"/>
        <n v="1425"/>
        <n v="6268"/>
        <n v="2613"/>
        <n v="9095"/>
        <n v="9669"/>
        <n v="5163"/>
        <n v="6831"/>
        <n v="1781"/>
        <n v="9572"/>
        <n v="9038"/>
        <n v="6317"/>
        <n v="7932"/>
        <n v="9871"/>
        <n v="2475"/>
        <n v="5429"/>
        <n v="5589"/>
        <n v="2318"/>
        <n v="4450"/>
        <n v="5464"/>
        <n v="6383"/>
        <n v="3171"/>
        <n v="8152"/>
        <n v="2007"/>
        <n v="1084"/>
        <n v="3210"/>
        <n v="1501"/>
        <n v="4246"/>
        <n v="8281"/>
        <n v="7758"/>
        <n v="3058"/>
        <n v="5798"/>
        <n v="5827"/>
        <n v="1353"/>
        <n v="7071"/>
        <n v="6269"/>
        <n v="8006"/>
        <n v="6914"/>
        <n v="1957"/>
        <n v="6803"/>
        <n v="8063"/>
        <n v="7332"/>
        <n v="7955"/>
        <n v="7477"/>
        <n v="1696"/>
        <n v="6900"/>
        <n v="6130"/>
        <n v="8178"/>
        <n v="3994"/>
        <n v="6107"/>
        <n v="7651"/>
        <n v="8276"/>
        <n v="2705"/>
        <n v="1579"/>
        <n v="7507"/>
        <n v="1308"/>
        <n v="5888"/>
        <n v="2573"/>
        <n v="9654"/>
        <n v="8458"/>
        <n v="6875"/>
        <n v="8199"/>
        <n v="3506"/>
        <n v="8504"/>
        <n v="4924"/>
        <n v="8293"/>
        <n v="2366"/>
        <n v="1055"/>
        <n v="5784"/>
        <n v="8638"/>
        <n v="5719"/>
        <n v="8122"/>
        <n v="9498"/>
      </sharedItems>
    </cacheField>
    <cacheField name="Actual Spend ($)" numFmtId="0">
      <sharedItems containsSemiMixedTypes="0" containsString="0" containsNumber="1" containsInteger="1" minValue="807" maxValue="11868"/>
    </cacheField>
    <cacheField name="Budget Status" numFmtId="0">
      <sharedItems/>
    </cacheField>
    <cacheField name="Notes" numFmtId="0">
      <sharedItems containsBlank="1"/>
    </cacheField>
  </cacheFields>
  <calculatedItems count="1">
    <calculatedItem>
      <pivotArea cacheIndex="1" outline="0" fieldPosition="0">
        <references count="1">
          <reference field="0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Travel"/>
    <s v="October"/>
    <x v="0"/>
    <n v="11391"/>
    <s v="Over Budget"/>
    <m/>
  </r>
  <r>
    <x v="1"/>
    <s v="Supplies"/>
    <s v="May"/>
    <x v="1"/>
    <n v="2115"/>
    <s v="On Budget"/>
    <s v="Urgent need"/>
  </r>
  <r>
    <x v="2"/>
    <s v="Supplies"/>
    <s v="July"/>
    <x v="2"/>
    <n v="2833"/>
    <s v="On Budget"/>
    <s v="Overspend"/>
  </r>
  <r>
    <x v="3"/>
    <s v="Travel"/>
    <s v="September"/>
    <x v="3"/>
    <n v="1659"/>
    <s v="On Budget"/>
    <s v="Urgent need"/>
  </r>
  <r>
    <x v="3"/>
    <s v="Supplies"/>
    <s v="February"/>
    <x v="4"/>
    <n v="9947"/>
    <s v="Over Budget"/>
    <s v="Delayed approval"/>
  </r>
  <r>
    <x v="0"/>
    <s v="Travel"/>
    <s v="August"/>
    <x v="5"/>
    <n v="5026"/>
    <s v="On Budget"/>
    <s v="Delayed approval"/>
  </r>
  <r>
    <x v="1"/>
    <s v="Supplies"/>
    <s v="November"/>
    <x v="6"/>
    <n v="4649"/>
    <s v="On Budget"/>
    <s v="Delayed approval"/>
  </r>
  <r>
    <x v="2"/>
    <s v="Travel"/>
    <s v="October"/>
    <x v="7"/>
    <n v="4834"/>
    <s v="On Budget"/>
    <m/>
  </r>
  <r>
    <x v="4"/>
    <s v="Training"/>
    <s v="December"/>
    <x v="8"/>
    <n v="3132"/>
    <s v="On Budget"/>
    <s v="Delayed approval"/>
  </r>
  <r>
    <x v="1"/>
    <s v="Consulting"/>
    <s v="June"/>
    <x v="9"/>
    <n v="8038"/>
    <s v="Over Budget"/>
    <s v="Urgent need"/>
  </r>
  <r>
    <x v="2"/>
    <s v="Travel"/>
    <s v="November"/>
    <x v="10"/>
    <n v="2005"/>
    <s v="On Budget"/>
    <s v="Urgent need"/>
  </r>
  <r>
    <x v="5"/>
    <s v="Consulting"/>
    <s v="September"/>
    <x v="11"/>
    <n v="2626"/>
    <s v="On Budget"/>
    <s v="Overspend"/>
  </r>
  <r>
    <x v="5"/>
    <s v="Software"/>
    <s v="July"/>
    <x v="12"/>
    <n v="2320"/>
    <s v="On Budget"/>
    <m/>
  </r>
  <r>
    <x v="4"/>
    <s v="Consulting"/>
    <s v="February"/>
    <x v="13"/>
    <n v="11660"/>
    <s v="Over Budget"/>
    <m/>
  </r>
  <r>
    <x v="2"/>
    <s v="Consulting"/>
    <s v="January"/>
    <x v="14"/>
    <n v="2168"/>
    <s v="Over Budget"/>
    <s v="Refund expected"/>
  </r>
  <r>
    <x v="0"/>
    <s v="Training"/>
    <s v="August"/>
    <x v="15"/>
    <n v="9025"/>
    <s v="Over Budget"/>
    <s v="Delayed approval"/>
  </r>
  <r>
    <x v="4"/>
    <s v="Software"/>
    <s v="January"/>
    <x v="16"/>
    <n v="11471"/>
    <s v="Over Budget"/>
    <s v="Refund expected"/>
  </r>
  <r>
    <x v="0"/>
    <s v="Travel"/>
    <s v="August"/>
    <x v="17"/>
    <n v="7585"/>
    <s v="Over Budget"/>
    <m/>
  </r>
  <r>
    <x v="4"/>
    <s v="Software"/>
    <s v="January"/>
    <x v="18"/>
    <n v="1610"/>
    <s v="On Budget"/>
    <s v="Urgent need"/>
  </r>
  <r>
    <x v="3"/>
    <s v="Travel"/>
    <s v="December"/>
    <x v="19"/>
    <n v="5264"/>
    <s v="Over Budget"/>
    <s v="Urgent need"/>
  </r>
  <r>
    <x v="5"/>
    <s v="Supplies"/>
    <s v="December"/>
    <x v="20"/>
    <n v="6873"/>
    <s v="On Budget"/>
    <s v="Overspend"/>
  </r>
  <r>
    <x v="2"/>
    <s v="Equipment"/>
    <s v="April"/>
    <x v="21"/>
    <n v="5190"/>
    <s v="On Budget"/>
    <m/>
  </r>
  <r>
    <x v="3"/>
    <s v="Equipment"/>
    <s v="November"/>
    <x v="22"/>
    <n v="4567"/>
    <s v="On Budget"/>
    <s v="Urgent need"/>
  </r>
  <r>
    <x v="0"/>
    <s v="Supplies"/>
    <s v="January"/>
    <x v="23"/>
    <n v="4047"/>
    <s v="On Budget"/>
    <s v="Overspend"/>
  </r>
  <r>
    <x v="0"/>
    <s v="Travel"/>
    <s v="May"/>
    <x v="24"/>
    <n v="10039"/>
    <s v="Over Budget"/>
    <s v="Delayed approval"/>
  </r>
  <r>
    <x v="6"/>
    <s v="Supplies"/>
    <s v="January"/>
    <x v="25"/>
    <n v="7431"/>
    <s v="On Budget"/>
    <s v="Refund expected"/>
  </r>
  <r>
    <x v="4"/>
    <s v="Consulting"/>
    <s v="December"/>
    <x v="26"/>
    <n v="11353"/>
    <s v="Over Budget"/>
    <s v="Delayed approval"/>
  </r>
  <r>
    <x v="4"/>
    <s v="Consulting"/>
    <s v="September"/>
    <x v="27"/>
    <n v="10306"/>
    <s v="Over Budget"/>
    <s v="Refund expected"/>
  </r>
  <r>
    <x v="6"/>
    <s v="Software"/>
    <s v="July"/>
    <x v="28"/>
    <n v="8157"/>
    <s v="Over Budget"/>
    <s v="Urgent need"/>
  </r>
  <r>
    <x v="4"/>
    <s v="Supplies"/>
    <s v="March"/>
    <x v="29"/>
    <n v="11395"/>
    <s v="Over Budget"/>
    <s v="Overspend"/>
  </r>
  <r>
    <x v="3"/>
    <s v="Travel"/>
    <s v="July"/>
    <x v="30"/>
    <n v="6425"/>
    <s v="On Budget"/>
    <s v="Delayed approval"/>
  </r>
  <r>
    <x v="6"/>
    <s v="Travel"/>
    <s v="March"/>
    <x v="31"/>
    <n v="3473"/>
    <s v="On Budget"/>
    <s v="Delayed approval"/>
  </r>
  <r>
    <x v="4"/>
    <s v="Supplies"/>
    <s v="January"/>
    <x v="32"/>
    <n v="7324"/>
    <s v="Over Budget"/>
    <s v="Urgent need"/>
  </r>
  <r>
    <x v="5"/>
    <s v="Events"/>
    <s v="February"/>
    <x v="33"/>
    <n v="2004"/>
    <s v="On Budget"/>
    <s v="Overspend"/>
  </r>
  <r>
    <x v="4"/>
    <s v="Equipment"/>
    <s v="July"/>
    <x v="34"/>
    <n v="9013"/>
    <s v="Over Budget"/>
    <s v="Refund expected"/>
  </r>
  <r>
    <x v="1"/>
    <s v="Consulting"/>
    <s v="May"/>
    <x v="35"/>
    <n v="10425"/>
    <s v="Over Budget"/>
    <s v="Overspend"/>
  </r>
  <r>
    <x v="2"/>
    <s v="Software"/>
    <s v="October"/>
    <x v="36"/>
    <n v="6920"/>
    <s v="Over Budget"/>
    <m/>
  </r>
  <r>
    <x v="2"/>
    <s v="Events"/>
    <s v="May"/>
    <x v="37"/>
    <n v="11479"/>
    <s v="Over Budget"/>
    <s v="Delayed approval"/>
  </r>
  <r>
    <x v="0"/>
    <s v="Training"/>
    <s v="February"/>
    <x v="38"/>
    <n v="5661"/>
    <s v="Over Budget"/>
    <s v="Urgent need"/>
  </r>
  <r>
    <x v="2"/>
    <s v="Equipment"/>
    <s v="August"/>
    <x v="39"/>
    <n v="6605"/>
    <s v="Over Budget"/>
    <s v="Urgent need"/>
  </r>
  <r>
    <x v="1"/>
    <s v="Training"/>
    <s v="July"/>
    <x v="40"/>
    <n v="1961"/>
    <s v="On Budget"/>
    <s v="Urgent need"/>
  </r>
  <r>
    <x v="3"/>
    <s v="Travel"/>
    <s v="March"/>
    <x v="41"/>
    <n v="2688"/>
    <s v="On Budget"/>
    <m/>
  </r>
  <r>
    <x v="3"/>
    <s v="Consulting"/>
    <s v="August"/>
    <x v="42"/>
    <n v="11206"/>
    <s v="Over Budget"/>
    <s v="Overspend"/>
  </r>
  <r>
    <x v="4"/>
    <s v="Equipment"/>
    <s v="January"/>
    <x v="43"/>
    <n v="4970"/>
    <s v="On Budget"/>
    <s v="Delayed approval"/>
  </r>
  <r>
    <x v="3"/>
    <s v="Consulting"/>
    <s v="February"/>
    <x v="44"/>
    <n v="5503"/>
    <s v="Over Budget"/>
    <s v="Delayed approval"/>
  </r>
  <r>
    <x v="4"/>
    <s v="Events"/>
    <s v="August"/>
    <x v="45"/>
    <n v="10730"/>
    <s v="Over Budget"/>
    <m/>
  </r>
  <r>
    <x v="1"/>
    <s v="Events"/>
    <s v="August"/>
    <x v="46"/>
    <n v="5430"/>
    <s v="On Budget"/>
    <m/>
  </r>
  <r>
    <x v="4"/>
    <s v="Travel"/>
    <s v="March"/>
    <x v="47"/>
    <n v="10484"/>
    <s v="Over Budget"/>
    <s v="Urgent need"/>
  </r>
  <r>
    <x v="4"/>
    <s v="Events"/>
    <s v="April"/>
    <x v="48"/>
    <n v="5897"/>
    <s v="Over Budget"/>
    <s v="Overspend"/>
  </r>
  <r>
    <x v="2"/>
    <s v="Training"/>
    <s v="January"/>
    <x v="49"/>
    <n v="9459"/>
    <s v="Over Budget"/>
    <m/>
  </r>
  <r>
    <x v="6"/>
    <s v="Equipment"/>
    <s v="January"/>
    <x v="50"/>
    <n v="10813"/>
    <s v="Over Budget"/>
    <s v="Overspend"/>
  </r>
  <r>
    <x v="0"/>
    <s v="Consulting"/>
    <s v="June"/>
    <x v="51"/>
    <n v="4433"/>
    <s v="On Budget"/>
    <s v="Delayed approval"/>
  </r>
  <r>
    <x v="0"/>
    <s v="Consulting"/>
    <s v="October"/>
    <x v="52"/>
    <n v="3401"/>
    <s v="On Budget"/>
    <s v="Delayed approval"/>
  </r>
  <r>
    <x v="0"/>
    <s v="Supplies"/>
    <s v="October"/>
    <x v="53"/>
    <n v="3612"/>
    <s v="On Budget"/>
    <s v="Delayed approval"/>
  </r>
  <r>
    <x v="5"/>
    <s v="Training"/>
    <s v="September"/>
    <x v="54"/>
    <n v="10615"/>
    <s v="Over Budget"/>
    <s v="Refund expected"/>
  </r>
  <r>
    <x v="1"/>
    <s v="Software"/>
    <s v="January"/>
    <x v="55"/>
    <n v="11340"/>
    <s v="Over Budget"/>
    <s v="Urgent need"/>
  </r>
  <r>
    <x v="3"/>
    <s v="Equipment"/>
    <s v="October"/>
    <x v="56"/>
    <n v="5960"/>
    <s v="On Budget"/>
    <m/>
  </r>
  <r>
    <x v="4"/>
    <s v="Supplies"/>
    <s v="February"/>
    <x v="57"/>
    <n v="1718"/>
    <s v="On Budget"/>
    <s v="Urgent need"/>
  </r>
  <r>
    <x v="6"/>
    <s v="Supplies"/>
    <s v="May"/>
    <x v="58"/>
    <n v="8892"/>
    <s v="Over Budget"/>
    <m/>
  </r>
  <r>
    <x v="0"/>
    <s v="Travel"/>
    <s v="January"/>
    <x v="59"/>
    <n v="6069"/>
    <s v="Over Budget"/>
    <s v="Refund expected"/>
  </r>
  <r>
    <x v="4"/>
    <s v="Equipment"/>
    <s v="November"/>
    <x v="60"/>
    <n v="10393"/>
    <s v="Over Budget"/>
    <s v="Refund expected"/>
  </r>
  <r>
    <x v="6"/>
    <s v="Supplies"/>
    <s v="November"/>
    <x v="61"/>
    <n v="10146"/>
    <s v="Over Budget"/>
    <s v="Refund expected"/>
  </r>
  <r>
    <x v="0"/>
    <s v="Software"/>
    <s v="October"/>
    <x v="62"/>
    <n v="10226"/>
    <s v="Over Budget"/>
    <s v="Overspend"/>
  </r>
  <r>
    <x v="3"/>
    <s v="Travel"/>
    <s v="April"/>
    <x v="63"/>
    <n v="10463"/>
    <s v="Over Budget"/>
    <s v="Refund expected"/>
  </r>
  <r>
    <x v="1"/>
    <s v="Equipment"/>
    <s v="March"/>
    <x v="64"/>
    <n v="3895"/>
    <s v="On Budget"/>
    <m/>
  </r>
  <r>
    <x v="3"/>
    <s v="Travel"/>
    <s v="April"/>
    <x v="65"/>
    <n v="5160"/>
    <s v="Over Budget"/>
    <s v="Refund expected"/>
  </r>
  <r>
    <x v="3"/>
    <s v="Training"/>
    <s v="June"/>
    <x v="66"/>
    <n v="3100"/>
    <s v="On Budget"/>
    <s v="Overspend"/>
  </r>
  <r>
    <x v="3"/>
    <s v="Consulting"/>
    <s v="March"/>
    <x v="67"/>
    <n v="6381"/>
    <s v="On Budget"/>
    <s v="Overspend"/>
  </r>
  <r>
    <x v="1"/>
    <s v="Equipment"/>
    <s v="January"/>
    <x v="68"/>
    <n v="8302"/>
    <s v="Over Budget"/>
    <s v="Refund expected"/>
  </r>
  <r>
    <x v="3"/>
    <s v="Equipment"/>
    <s v="September"/>
    <x v="69"/>
    <n v="1349"/>
    <s v="On Budget"/>
    <s v="Urgent need"/>
  </r>
  <r>
    <x v="3"/>
    <s v="Events"/>
    <s v="July"/>
    <x v="70"/>
    <n v="3259"/>
    <s v="On Budget"/>
    <s v="Urgent need"/>
  </r>
  <r>
    <x v="0"/>
    <s v="Travel"/>
    <s v="December"/>
    <x v="71"/>
    <n v="8723"/>
    <s v="Over Budget"/>
    <s v="Refund expected"/>
  </r>
  <r>
    <x v="3"/>
    <s v="Equipment"/>
    <s v="July"/>
    <x v="72"/>
    <n v="4840"/>
    <s v="Over Budget"/>
    <m/>
  </r>
  <r>
    <x v="1"/>
    <s v="Consulting"/>
    <s v="January"/>
    <x v="73"/>
    <n v="11085"/>
    <s v="Over Budget"/>
    <s v="Delayed approval"/>
  </r>
  <r>
    <x v="3"/>
    <s v="Consulting"/>
    <s v="June"/>
    <x v="74"/>
    <n v="4524"/>
    <s v="On Budget"/>
    <s v="Refund expected"/>
  </r>
  <r>
    <x v="2"/>
    <s v="Consulting"/>
    <s v="December"/>
    <x v="75"/>
    <n v="8995"/>
    <s v="Over Budget"/>
    <s v="Urgent need"/>
  </r>
  <r>
    <x v="1"/>
    <s v="Travel"/>
    <s v="February"/>
    <x v="76"/>
    <n v="3315"/>
    <s v="On Budget"/>
    <s v="Delayed approval"/>
  </r>
  <r>
    <x v="6"/>
    <s v="Travel"/>
    <s v="March"/>
    <x v="77"/>
    <n v="8660"/>
    <s v="Over Budget"/>
    <s v="Urgent need"/>
  </r>
  <r>
    <x v="1"/>
    <s v="Supplies"/>
    <s v="August"/>
    <x v="78"/>
    <n v="1888"/>
    <s v="On Budget"/>
    <s v="Urgent need"/>
  </r>
  <r>
    <x v="6"/>
    <s v="Training"/>
    <s v="April"/>
    <x v="79"/>
    <n v="4751"/>
    <s v="On Budget"/>
    <s v="Refund expected"/>
  </r>
  <r>
    <x v="1"/>
    <s v="Events"/>
    <s v="November"/>
    <x v="80"/>
    <n v="5223"/>
    <s v="On Budget"/>
    <m/>
  </r>
  <r>
    <x v="5"/>
    <s v="Travel"/>
    <s v="March"/>
    <x v="81"/>
    <n v="6007"/>
    <s v="On Budget"/>
    <s v="Urgent need"/>
  </r>
  <r>
    <x v="3"/>
    <s v="Consulting"/>
    <s v="November"/>
    <x v="82"/>
    <n v="1998"/>
    <s v="Over Budget"/>
    <m/>
  </r>
  <r>
    <x v="5"/>
    <s v="Events"/>
    <s v="February"/>
    <x v="83"/>
    <n v="7674"/>
    <s v="Over Budget"/>
    <s v="Delayed approval"/>
  </r>
  <r>
    <x v="5"/>
    <s v="Supplies"/>
    <s v="July"/>
    <x v="84"/>
    <n v="9853"/>
    <s v="On Budget"/>
    <s v="Overspend"/>
  </r>
  <r>
    <x v="6"/>
    <s v="Training"/>
    <s v="November"/>
    <x v="85"/>
    <n v="6411"/>
    <s v="On Budget"/>
    <s v="Delayed approval"/>
  </r>
  <r>
    <x v="3"/>
    <s v="Consulting"/>
    <s v="October"/>
    <x v="86"/>
    <n v="6534"/>
    <s v="On Budget"/>
    <s v="Urgent need"/>
  </r>
  <r>
    <x v="3"/>
    <s v="Software"/>
    <s v="November"/>
    <x v="87"/>
    <n v="4310"/>
    <s v="Over Budget"/>
    <s v="Urgent need"/>
  </r>
  <r>
    <x v="5"/>
    <s v="Training"/>
    <s v="June"/>
    <x v="88"/>
    <n v="10883"/>
    <s v="Over Budget"/>
    <m/>
  </r>
  <r>
    <x v="4"/>
    <s v="Software"/>
    <s v="August"/>
    <x v="89"/>
    <n v="1130"/>
    <s v="On Budget"/>
    <s v="Refund expected"/>
  </r>
  <r>
    <x v="0"/>
    <s v="Consulting"/>
    <s v="November"/>
    <x v="90"/>
    <n v="8610"/>
    <s v="Over Budget"/>
    <s v="Delayed approval"/>
  </r>
  <r>
    <x v="6"/>
    <s v="Software"/>
    <s v="September"/>
    <x v="91"/>
    <n v="9566"/>
    <s v="Over Budget"/>
    <m/>
  </r>
  <r>
    <x v="3"/>
    <s v="Software"/>
    <s v="September"/>
    <x v="92"/>
    <n v="4754"/>
    <s v="On Budget"/>
    <s v="Delayed approval"/>
  </r>
  <r>
    <x v="1"/>
    <s v="Equipment"/>
    <s v="September"/>
    <x v="93"/>
    <n v="3991"/>
    <s v="On Budget"/>
    <s v="Urgent need"/>
  </r>
  <r>
    <x v="1"/>
    <s v="Supplies"/>
    <s v="September"/>
    <x v="94"/>
    <n v="7252"/>
    <s v="Over Budget"/>
    <s v="Urgent need"/>
  </r>
  <r>
    <x v="0"/>
    <s v="Training"/>
    <s v="October"/>
    <x v="95"/>
    <n v="11481"/>
    <s v="Over Budget"/>
    <s v="Overspend"/>
  </r>
  <r>
    <x v="3"/>
    <s v="Equipment"/>
    <s v="October"/>
    <x v="96"/>
    <n v="8465"/>
    <s v="Over Budget"/>
    <m/>
  </r>
  <r>
    <x v="2"/>
    <s v="Events"/>
    <s v="November"/>
    <x v="97"/>
    <n v="2944"/>
    <s v="On Budget"/>
    <s v="Refund expected"/>
  </r>
  <r>
    <x v="2"/>
    <s v="Travel"/>
    <s v="September"/>
    <x v="98"/>
    <n v="6655"/>
    <s v="Over Budget"/>
    <s v="Overspend"/>
  </r>
  <r>
    <x v="0"/>
    <s v="Training"/>
    <s v="October"/>
    <x v="99"/>
    <n v="10036"/>
    <s v="Over Budget"/>
    <s v="Overspend"/>
  </r>
  <r>
    <x v="0"/>
    <s v="Software"/>
    <s v="April"/>
    <x v="100"/>
    <n v="11321"/>
    <s v="Over Budget"/>
    <s v="Overspend"/>
  </r>
  <r>
    <x v="6"/>
    <s v="Equipment"/>
    <s v="November"/>
    <x v="101"/>
    <n v="4259"/>
    <s v="Over Budget"/>
    <s v="Refund expected"/>
  </r>
  <r>
    <x v="0"/>
    <s v="Consulting"/>
    <s v="February"/>
    <x v="102"/>
    <n v="2284"/>
    <s v="On Budget"/>
    <s v="Refund expected"/>
  </r>
  <r>
    <x v="3"/>
    <s v="Training"/>
    <s v="November"/>
    <x v="103"/>
    <n v="3043"/>
    <s v="Over Budget"/>
    <s v="Refund expected"/>
  </r>
  <r>
    <x v="3"/>
    <s v="Equipment"/>
    <s v="November"/>
    <x v="104"/>
    <n v="1611"/>
    <s v="On Budget"/>
    <s v="Overspend"/>
  </r>
  <r>
    <x v="4"/>
    <s v="Travel"/>
    <s v="January"/>
    <x v="105"/>
    <n v="1374"/>
    <s v="On Budget"/>
    <m/>
  </r>
  <r>
    <x v="0"/>
    <s v="Equipment"/>
    <s v="December"/>
    <x v="106"/>
    <n v="11376"/>
    <s v="Over Budget"/>
    <s v="Overspend"/>
  </r>
  <r>
    <x v="3"/>
    <s v="Supplies"/>
    <s v="February"/>
    <x v="107"/>
    <n v="9707"/>
    <s v="Over Budget"/>
    <s v="Refund expected"/>
  </r>
  <r>
    <x v="4"/>
    <s v="Supplies"/>
    <s v="September"/>
    <x v="108"/>
    <n v="831"/>
    <s v="On Budget"/>
    <s v="Urgent need"/>
  </r>
  <r>
    <x v="5"/>
    <s v="Training"/>
    <s v="December"/>
    <x v="109"/>
    <n v="10544"/>
    <s v="Over Budget"/>
    <s v="Delayed approval"/>
  </r>
  <r>
    <x v="5"/>
    <s v="Events"/>
    <s v="January"/>
    <x v="110"/>
    <n v="9798"/>
    <s v="Over Budget"/>
    <s v="Urgent need"/>
  </r>
  <r>
    <x v="2"/>
    <s v="Software"/>
    <s v="October"/>
    <x v="111"/>
    <n v="6564"/>
    <s v="Over Budget"/>
    <s v="Urgent need"/>
  </r>
  <r>
    <x v="3"/>
    <s v="Equipment"/>
    <s v="September"/>
    <x v="112"/>
    <n v="10019"/>
    <s v="Over Budget"/>
    <s v="Overspend"/>
  </r>
  <r>
    <x v="6"/>
    <s v="Travel"/>
    <s v="August"/>
    <x v="113"/>
    <n v="3834"/>
    <s v="Over Budget"/>
    <m/>
  </r>
  <r>
    <x v="5"/>
    <s v="Travel"/>
    <s v="May"/>
    <x v="114"/>
    <n v="9243"/>
    <s v="Over Budget"/>
    <s v="Urgent need"/>
  </r>
  <r>
    <x v="3"/>
    <s v="Consulting"/>
    <s v="May"/>
    <x v="115"/>
    <n v="1646"/>
    <s v="On Budget"/>
    <s v="Delayed approval"/>
  </r>
  <r>
    <x v="6"/>
    <s v="Travel"/>
    <s v="January"/>
    <x v="116"/>
    <n v="4948"/>
    <s v="Over Budget"/>
    <s v="Urgent need"/>
  </r>
  <r>
    <x v="0"/>
    <s v="Supplies"/>
    <s v="June"/>
    <x v="117"/>
    <n v="6424"/>
    <s v="Over Budget"/>
    <s v="Delayed approval"/>
  </r>
  <r>
    <x v="0"/>
    <s v="Software"/>
    <s v="November"/>
    <x v="118"/>
    <n v="6043"/>
    <s v="Over Budget"/>
    <s v="Delayed approval"/>
  </r>
  <r>
    <x v="6"/>
    <s v="Equipment"/>
    <s v="April"/>
    <x v="119"/>
    <n v="2227"/>
    <s v="On Budget"/>
    <s v="Delayed approval"/>
  </r>
  <r>
    <x v="4"/>
    <s v="Software"/>
    <s v="April"/>
    <x v="120"/>
    <n v="10040"/>
    <s v="Over Budget"/>
    <s v="Refund expected"/>
  </r>
  <r>
    <x v="2"/>
    <s v="Supplies"/>
    <s v="July"/>
    <x v="121"/>
    <n v="6866"/>
    <s v="Over Budget"/>
    <s v="Overspend"/>
  </r>
  <r>
    <x v="2"/>
    <s v="Equipment"/>
    <s v="February"/>
    <x v="122"/>
    <n v="10929"/>
    <s v="Over Budget"/>
    <s v="Refund expected"/>
  </r>
  <r>
    <x v="6"/>
    <s v="Equipment"/>
    <s v="February"/>
    <x v="123"/>
    <n v="3942"/>
    <s v="Over Budget"/>
    <s v="Urgent need"/>
  </r>
  <r>
    <x v="2"/>
    <s v="Supplies"/>
    <s v="June"/>
    <x v="124"/>
    <n v="3881"/>
    <s v="Over Budget"/>
    <s v="Urgent need"/>
  </r>
  <r>
    <x v="6"/>
    <s v="Travel"/>
    <s v="March"/>
    <x v="125"/>
    <n v="10125"/>
    <s v="Over Budget"/>
    <s v="Urgent need"/>
  </r>
  <r>
    <x v="0"/>
    <s v="Training"/>
    <s v="January"/>
    <x v="126"/>
    <n v="6459"/>
    <s v="Over Budget"/>
    <s v="Delayed approval"/>
  </r>
  <r>
    <x v="3"/>
    <s v="Consulting"/>
    <s v="June"/>
    <x v="127"/>
    <n v="3735"/>
    <s v="Over Budget"/>
    <s v="Delayed approval"/>
  </r>
  <r>
    <x v="1"/>
    <s v="Software"/>
    <s v="January"/>
    <x v="128"/>
    <n v="6127"/>
    <s v="Over Budget"/>
    <m/>
  </r>
  <r>
    <x v="5"/>
    <s v="Supplies"/>
    <s v="April"/>
    <x v="129"/>
    <n v="2415"/>
    <s v="On Budget"/>
    <s v="Overspend"/>
  </r>
  <r>
    <x v="6"/>
    <s v="Supplies"/>
    <s v="May"/>
    <x v="130"/>
    <n v="7341"/>
    <s v="Over Budget"/>
    <s v="Delayed approval"/>
  </r>
  <r>
    <x v="0"/>
    <s v="Consulting"/>
    <s v="November"/>
    <x v="131"/>
    <n v="8036"/>
    <s v="Over Budget"/>
    <s v="Delayed approval"/>
  </r>
  <r>
    <x v="0"/>
    <s v="Consulting"/>
    <s v="February"/>
    <x v="132"/>
    <n v="1099"/>
    <s v="On Budget"/>
    <s v="Urgent need"/>
  </r>
  <r>
    <x v="1"/>
    <s v="Consulting"/>
    <s v="April"/>
    <x v="133"/>
    <n v="6028"/>
    <s v="On Budget"/>
    <s v="Delayed approval"/>
  </r>
  <r>
    <x v="1"/>
    <s v="Events"/>
    <s v="September"/>
    <x v="134"/>
    <n v="4773"/>
    <s v="On Budget"/>
    <s v="Delayed approval"/>
  </r>
  <r>
    <x v="6"/>
    <s v="Software"/>
    <s v="June"/>
    <x v="135"/>
    <n v="2988"/>
    <s v="On Budget"/>
    <m/>
  </r>
  <r>
    <x v="5"/>
    <s v="Training"/>
    <s v="May"/>
    <x v="136"/>
    <n v="11208"/>
    <s v="Over Budget"/>
    <m/>
  </r>
  <r>
    <x v="4"/>
    <s v="Software"/>
    <s v="March"/>
    <x v="137"/>
    <n v="8693"/>
    <s v="On Budget"/>
    <m/>
  </r>
  <r>
    <x v="0"/>
    <s v="Travel"/>
    <s v="February"/>
    <x v="138"/>
    <n v="8553"/>
    <s v="On Budget"/>
    <s v="Urgent need"/>
  </r>
  <r>
    <x v="2"/>
    <s v="Software"/>
    <s v="April"/>
    <x v="139"/>
    <n v="7102"/>
    <s v="On Budget"/>
    <s v="Delayed approval"/>
  </r>
  <r>
    <x v="2"/>
    <s v="Travel"/>
    <s v="April"/>
    <x v="140"/>
    <n v="11610"/>
    <s v="Over Budget"/>
    <s v="Overspend"/>
  </r>
  <r>
    <x v="5"/>
    <s v="Supplies"/>
    <s v="February"/>
    <x v="141"/>
    <n v="1938"/>
    <s v="Over Budget"/>
    <s v="Overspend"/>
  </r>
  <r>
    <x v="0"/>
    <s v="Consulting"/>
    <s v="July"/>
    <x v="142"/>
    <n v="7843"/>
    <s v="Over Budget"/>
    <s v="Urgent need"/>
  </r>
  <r>
    <x v="2"/>
    <s v="Supplies"/>
    <s v="July"/>
    <x v="143"/>
    <n v="2139"/>
    <s v="On Budget"/>
    <m/>
  </r>
  <r>
    <x v="4"/>
    <s v="Equipment"/>
    <s v="August"/>
    <x v="144"/>
    <n v="7191"/>
    <s v="On Budget"/>
    <s v="Delayed approval"/>
  </r>
  <r>
    <x v="5"/>
    <s v="Events"/>
    <s v="July"/>
    <x v="145"/>
    <n v="9652"/>
    <s v="Over Budget"/>
    <s v="Refund expected"/>
  </r>
  <r>
    <x v="3"/>
    <s v="Software"/>
    <s v="August"/>
    <x v="146"/>
    <n v="7558"/>
    <s v="Over Budget"/>
    <m/>
  </r>
  <r>
    <x v="5"/>
    <s v="Consulting"/>
    <s v="February"/>
    <x v="147"/>
    <n v="965"/>
    <s v="On Budget"/>
    <s v="Delayed approval"/>
  </r>
  <r>
    <x v="2"/>
    <s v="Travel"/>
    <s v="June"/>
    <x v="148"/>
    <n v="3903"/>
    <s v="On Budget"/>
    <m/>
  </r>
  <r>
    <x v="0"/>
    <s v="Equipment"/>
    <s v="April"/>
    <x v="149"/>
    <n v="5246"/>
    <s v="On Budget"/>
    <m/>
  </r>
  <r>
    <x v="1"/>
    <s v="Events"/>
    <s v="July"/>
    <x v="150"/>
    <n v="5804"/>
    <s v="On Budget"/>
    <s v="Refund expected"/>
  </r>
  <r>
    <x v="6"/>
    <s v="Training"/>
    <s v="May"/>
    <x v="151"/>
    <n v="7460"/>
    <s v="Over Budget"/>
    <s v="Delayed approval"/>
  </r>
  <r>
    <x v="2"/>
    <s v="Events"/>
    <s v="October"/>
    <x v="152"/>
    <n v="11316"/>
    <s v="Over Budget"/>
    <s v="Refund expected"/>
  </r>
  <r>
    <x v="5"/>
    <s v="Events"/>
    <s v="January"/>
    <x v="153"/>
    <n v="5145"/>
    <s v="Over Budget"/>
    <s v="Overspend"/>
  </r>
  <r>
    <x v="1"/>
    <s v="Equipment"/>
    <s v="May"/>
    <x v="154"/>
    <n v="2852"/>
    <s v="On Budget"/>
    <s v="Delayed approval"/>
  </r>
  <r>
    <x v="6"/>
    <s v="Equipment"/>
    <s v="December"/>
    <x v="155"/>
    <n v="4819"/>
    <s v="On Budget"/>
    <m/>
  </r>
  <r>
    <x v="1"/>
    <s v="Consulting"/>
    <s v="April"/>
    <x v="156"/>
    <n v="10517"/>
    <s v="Over Budget"/>
    <s v="Refund expected"/>
  </r>
  <r>
    <x v="2"/>
    <s v="Software"/>
    <s v="September"/>
    <x v="157"/>
    <n v="8070"/>
    <s v="On Budget"/>
    <s v="Overspend"/>
  </r>
  <r>
    <x v="0"/>
    <s v="Training"/>
    <s v="March"/>
    <x v="158"/>
    <n v="6550"/>
    <s v="Over Budget"/>
    <m/>
  </r>
  <r>
    <x v="1"/>
    <s v="Training"/>
    <s v="September"/>
    <x v="159"/>
    <n v="9771"/>
    <s v="Over Budget"/>
    <s v="Urgent need"/>
  </r>
  <r>
    <x v="4"/>
    <s v="Software"/>
    <s v="November"/>
    <x v="160"/>
    <n v="11851"/>
    <s v="Over Budget"/>
    <s v="Delayed approval"/>
  </r>
  <r>
    <x v="0"/>
    <s v="Equipment"/>
    <s v="April"/>
    <x v="161"/>
    <n v="3112"/>
    <s v="On Budget"/>
    <s v="Urgent need"/>
  </r>
  <r>
    <x v="2"/>
    <s v="Equipment"/>
    <s v="October"/>
    <x v="162"/>
    <n v="5018"/>
    <s v="Over Budget"/>
    <s v="Overspend"/>
  </r>
  <r>
    <x v="6"/>
    <s v="Supplies"/>
    <s v="March"/>
    <x v="163"/>
    <n v="4643"/>
    <s v="On Budget"/>
    <s v="Overspend"/>
  </r>
  <r>
    <x v="1"/>
    <s v="Consulting"/>
    <s v="February"/>
    <x v="96"/>
    <n v="1086"/>
    <s v="On Budget"/>
    <m/>
  </r>
  <r>
    <x v="6"/>
    <s v="Software"/>
    <s v="October"/>
    <x v="164"/>
    <n v="3142"/>
    <s v="On Budget"/>
    <s v="Overspend"/>
  </r>
  <r>
    <x v="0"/>
    <s v="Equipment"/>
    <s v="December"/>
    <x v="165"/>
    <n v="8919"/>
    <s v="Over Budget"/>
    <s v="Urgent need"/>
  </r>
  <r>
    <x v="3"/>
    <s v="Training"/>
    <s v="July"/>
    <x v="166"/>
    <n v="8970"/>
    <s v="Over Budget"/>
    <m/>
  </r>
  <r>
    <x v="0"/>
    <s v="Equipment"/>
    <s v="October"/>
    <x v="167"/>
    <n v="7026"/>
    <s v="On Budget"/>
    <m/>
  </r>
  <r>
    <x v="1"/>
    <s v="Software"/>
    <s v="May"/>
    <x v="168"/>
    <n v="4594"/>
    <s v="On Budget"/>
    <s v="Refund expected"/>
  </r>
  <r>
    <x v="3"/>
    <s v="Travel"/>
    <s v="October"/>
    <x v="169"/>
    <n v="6304"/>
    <s v="On Budget"/>
    <m/>
  </r>
  <r>
    <x v="2"/>
    <s v="Events"/>
    <s v="July"/>
    <x v="170"/>
    <n v="6463"/>
    <s v="Over Budget"/>
    <s v="Refund expected"/>
  </r>
  <r>
    <x v="4"/>
    <s v="Travel"/>
    <s v="December"/>
    <x v="171"/>
    <n v="10207"/>
    <s v="Over Budget"/>
    <s v="Refund expected"/>
  </r>
  <r>
    <x v="1"/>
    <s v="Equipment"/>
    <s v="August"/>
    <x v="172"/>
    <n v="1153"/>
    <s v="On Budget"/>
    <m/>
  </r>
  <r>
    <x v="6"/>
    <s v="Events"/>
    <s v="September"/>
    <x v="173"/>
    <n v="5193"/>
    <s v="On Budget"/>
    <s v="Urgent need"/>
  </r>
  <r>
    <x v="6"/>
    <s v="Supplies"/>
    <s v="November"/>
    <x v="174"/>
    <n v="814"/>
    <s v="On Budget"/>
    <s v="Delayed approval"/>
  </r>
  <r>
    <x v="2"/>
    <s v="Supplies"/>
    <s v="November"/>
    <x v="175"/>
    <n v="7764"/>
    <s v="Over Budget"/>
    <s v="Delayed approval"/>
  </r>
  <r>
    <x v="3"/>
    <s v="Supplies"/>
    <s v="October"/>
    <x v="176"/>
    <n v="6793"/>
    <s v="On Budget"/>
    <s v="Urgent need"/>
  </r>
  <r>
    <x v="0"/>
    <s v="Events"/>
    <s v="July"/>
    <x v="177"/>
    <n v="6572"/>
    <s v="On Budget"/>
    <s v="Delayed approval"/>
  </r>
  <r>
    <x v="4"/>
    <s v="Training"/>
    <s v="May"/>
    <x v="178"/>
    <n v="1247"/>
    <s v="On Budget"/>
    <s v="Overspend"/>
  </r>
  <r>
    <x v="3"/>
    <s v="Software"/>
    <s v="July"/>
    <x v="179"/>
    <n v="11068"/>
    <s v="Over Budget"/>
    <s v="Delayed approval"/>
  </r>
  <r>
    <x v="1"/>
    <s v="Consulting"/>
    <s v="May"/>
    <x v="180"/>
    <n v="5406"/>
    <s v="On Budget"/>
    <s v="Overspend"/>
  </r>
  <r>
    <x v="0"/>
    <s v="Software"/>
    <s v="June"/>
    <x v="181"/>
    <n v="8384"/>
    <s v="Over Budget"/>
    <s v="Overspend"/>
  </r>
  <r>
    <x v="0"/>
    <s v="Consulting"/>
    <s v="August"/>
    <x v="182"/>
    <n v="3045"/>
    <s v="Over Budget"/>
    <s v="Overspend"/>
  </r>
  <r>
    <x v="6"/>
    <s v="Software"/>
    <s v="May"/>
    <x v="148"/>
    <n v="11421"/>
    <s v="Over Budget"/>
    <m/>
  </r>
  <r>
    <x v="0"/>
    <s v="Training"/>
    <s v="January"/>
    <x v="183"/>
    <n v="7108"/>
    <s v="On Budget"/>
    <s v="Delayed approval"/>
  </r>
  <r>
    <x v="6"/>
    <s v="Events"/>
    <s v="June"/>
    <x v="184"/>
    <n v="3212"/>
    <s v="On Budget"/>
    <s v="Overspend"/>
  </r>
  <r>
    <x v="5"/>
    <s v="Training"/>
    <s v="March"/>
    <x v="185"/>
    <n v="7804"/>
    <s v="Over Budget"/>
    <s v="Refund expected"/>
  </r>
  <r>
    <x v="1"/>
    <s v="Equipment"/>
    <s v="June"/>
    <x v="186"/>
    <n v="9089"/>
    <s v="Over Budget"/>
    <s v="Delayed approval"/>
  </r>
  <r>
    <x v="2"/>
    <s v="Supplies"/>
    <s v="May"/>
    <x v="187"/>
    <n v="3967"/>
    <s v="Over Budget"/>
    <s v="Overspend"/>
  </r>
  <r>
    <x v="3"/>
    <s v="Events"/>
    <s v="June"/>
    <x v="188"/>
    <n v="3747"/>
    <s v="Over Budget"/>
    <s v="Urgent need"/>
  </r>
  <r>
    <x v="3"/>
    <s v="Equipment"/>
    <s v="February"/>
    <x v="189"/>
    <n v="7189"/>
    <s v="On Budget"/>
    <s v="Overspend"/>
  </r>
  <r>
    <x v="5"/>
    <s v="Training"/>
    <s v="August"/>
    <x v="190"/>
    <n v="4080"/>
    <s v="On Budget"/>
    <s v="Urgent need"/>
  </r>
  <r>
    <x v="0"/>
    <s v="Training"/>
    <s v="May"/>
    <x v="191"/>
    <n v="7311"/>
    <s v="Over Budget"/>
    <m/>
  </r>
  <r>
    <x v="4"/>
    <s v="Travel"/>
    <s v="May"/>
    <x v="192"/>
    <n v="7989"/>
    <s v="On Budget"/>
    <s v="Urgent need"/>
  </r>
  <r>
    <x v="6"/>
    <s v="Equipment"/>
    <s v="May"/>
    <x v="193"/>
    <n v="9929"/>
    <s v="Over Budget"/>
    <s v="Delayed approval"/>
  </r>
  <r>
    <x v="3"/>
    <s v="Travel"/>
    <s v="March"/>
    <x v="194"/>
    <n v="8953"/>
    <s v="Over Budget"/>
    <m/>
  </r>
  <r>
    <x v="6"/>
    <s v="Supplies"/>
    <s v="September"/>
    <x v="195"/>
    <n v="9571"/>
    <s v="Over Budget"/>
    <m/>
  </r>
  <r>
    <x v="4"/>
    <s v="Consulting"/>
    <s v="August"/>
    <x v="196"/>
    <n v="4006"/>
    <s v="On Budget"/>
    <s v="Delayed approval"/>
  </r>
  <r>
    <x v="6"/>
    <s v="Travel"/>
    <s v="July"/>
    <x v="197"/>
    <n v="8793"/>
    <s v="Over Budget"/>
    <s v="Delayed approval"/>
  </r>
  <r>
    <x v="1"/>
    <s v="Consulting"/>
    <s v="July"/>
    <x v="198"/>
    <n v="6768"/>
    <s v="Over Budget"/>
    <s v="Overspend"/>
  </r>
  <r>
    <x v="6"/>
    <s v="Training"/>
    <s v="September"/>
    <x v="199"/>
    <n v="4144"/>
    <s v="On Budget"/>
    <s v="Overspend"/>
  </r>
  <r>
    <x v="4"/>
    <s v="Consulting"/>
    <s v="January"/>
    <x v="200"/>
    <n v="4484"/>
    <s v="On Budget"/>
    <s v="Refund expected"/>
  </r>
  <r>
    <x v="0"/>
    <s v="Consulting"/>
    <s v="July"/>
    <x v="201"/>
    <n v="3315"/>
    <s v="Over Budget"/>
    <s v="Urgent need"/>
  </r>
  <r>
    <x v="3"/>
    <s v="Training"/>
    <s v="March"/>
    <x v="202"/>
    <n v="4497"/>
    <s v="On Budget"/>
    <s v="Refund expected"/>
  </r>
  <r>
    <x v="2"/>
    <s v="Travel"/>
    <s v="July"/>
    <x v="203"/>
    <n v="7720"/>
    <s v="Over Budget"/>
    <s v="Urgent need"/>
  </r>
  <r>
    <x v="6"/>
    <s v="Consulting"/>
    <s v="September"/>
    <x v="204"/>
    <n v="2623"/>
    <s v="On Budget"/>
    <m/>
  </r>
  <r>
    <x v="1"/>
    <s v="Supplies"/>
    <s v="May"/>
    <x v="205"/>
    <n v="9313"/>
    <s v="Over Budget"/>
    <m/>
  </r>
  <r>
    <x v="5"/>
    <s v="Travel"/>
    <s v="August"/>
    <x v="206"/>
    <n v="10859"/>
    <s v="Over Budget"/>
    <s v="Overspend"/>
  </r>
  <r>
    <x v="4"/>
    <s v="Equipment"/>
    <s v="September"/>
    <x v="207"/>
    <n v="829"/>
    <s v="On Budget"/>
    <s v="Overspend"/>
  </r>
  <r>
    <x v="5"/>
    <s v="Events"/>
    <s v="November"/>
    <x v="208"/>
    <n v="5731"/>
    <s v="Over Budget"/>
    <s v="Urgent need"/>
  </r>
  <r>
    <x v="4"/>
    <s v="Events"/>
    <s v="April"/>
    <x v="209"/>
    <n v="7101"/>
    <s v="Over Budget"/>
    <s v="Delayed approval"/>
  </r>
  <r>
    <x v="2"/>
    <s v="Software"/>
    <s v="April"/>
    <x v="210"/>
    <n v="5070"/>
    <s v="Over Budget"/>
    <s v="Refund expected"/>
  </r>
  <r>
    <x v="5"/>
    <s v="Travel"/>
    <s v="December"/>
    <x v="211"/>
    <n v="9374"/>
    <s v="Over Budget"/>
    <s v="Overspend"/>
  </r>
  <r>
    <x v="1"/>
    <s v="Equipment"/>
    <s v="May"/>
    <x v="212"/>
    <n v="10473"/>
    <s v="Over Budget"/>
    <s v="Refund expected"/>
  </r>
  <r>
    <x v="1"/>
    <s v="Travel"/>
    <s v="January"/>
    <x v="213"/>
    <n v="4041"/>
    <s v="On Budget"/>
    <s v="Refund expected"/>
  </r>
  <r>
    <x v="6"/>
    <s v="Events"/>
    <s v="March"/>
    <x v="214"/>
    <n v="3032"/>
    <s v="On Budget"/>
    <s v="Overspend"/>
  </r>
  <r>
    <x v="6"/>
    <s v="Equipment"/>
    <s v="November"/>
    <x v="215"/>
    <n v="4955"/>
    <s v="On Budget"/>
    <s v="Refund expected"/>
  </r>
  <r>
    <x v="3"/>
    <s v="Equipment"/>
    <s v="September"/>
    <x v="216"/>
    <n v="9990"/>
    <s v="Over Budget"/>
    <s v="Delayed approval"/>
  </r>
  <r>
    <x v="1"/>
    <s v="Consulting"/>
    <s v="September"/>
    <x v="217"/>
    <n v="6186"/>
    <s v="Over Budget"/>
    <m/>
  </r>
  <r>
    <x v="2"/>
    <s v="Events"/>
    <s v="March"/>
    <x v="218"/>
    <n v="2902"/>
    <s v="On Budget"/>
    <m/>
  </r>
  <r>
    <x v="4"/>
    <s v="Travel"/>
    <s v="December"/>
    <x v="219"/>
    <n v="10511"/>
    <s v="Over Budget"/>
    <m/>
  </r>
  <r>
    <x v="4"/>
    <s v="Equipment"/>
    <s v="June"/>
    <x v="220"/>
    <n v="4561"/>
    <s v="Over Budget"/>
    <m/>
  </r>
  <r>
    <x v="1"/>
    <s v="Supplies"/>
    <s v="July"/>
    <x v="221"/>
    <n v="11562"/>
    <s v="Over Budget"/>
    <s v="Delayed approval"/>
  </r>
  <r>
    <x v="1"/>
    <s v="Equipment"/>
    <s v="September"/>
    <x v="222"/>
    <n v="6289"/>
    <s v="Over Budget"/>
    <s v="Overspend"/>
  </r>
  <r>
    <x v="2"/>
    <s v="Software"/>
    <s v="January"/>
    <x v="223"/>
    <n v="8730"/>
    <s v="Over Budget"/>
    <s v="Refund expected"/>
  </r>
  <r>
    <x v="1"/>
    <s v="Equipment"/>
    <s v="August"/>
    <x v="224"/>
    <n v="5567"/>
    <s v="Over Budget"/>
    <s v="Delayed approval"/>
  </r>
  <r>
    <x v="6"/>
    <s v="Events"/>
    <s v="April"/>
    <x v="225"/>
    <n v="2722"/>
    <s v="On Budget"/>
    <s v="Delayed approval"/>
  </r>
  <r>
    <x v="3"/>
    <s v="Supplies"/>
    <s v="August"/>
    <x v="226"/>
    <n v="4973"/>
    <s v="Over Budget"/>
    <s v="Overspend"/>
  </r>
  <r>
    <x v="5"/>
    <s v="Events"/>
    <s v="September"/>
    <x v="227"/>
    <n v="11541"/>
    <s v="Over Budget"/>
    <s v="Overspend"/>
  </r>
  <r>
    <x v="4"/>
    <s v="Software"/>
    <s v="December"/>
    <x v="228"/>
    <n v="6868"/>
    <s v="Over Budget"/>
    <m/>
  </r>
  <r>
    <x v="6"/>
    <s v="Supplies"/>
    <s v="June"/>
    <x v="229"/>
    <n v="11277"/>
    <s v="Over Budget"/>
    <s v="Delayed approval"/>
  </r>
  <r>
    <x v="5"/>
    <s v="Training"/>
    <s v="June"/>
    <x v="230"/>
    <n v="7225"/>
    <s v="On Budget"/>
    <s v="Overspend"/>
  </r>
  <r>
    <x v="5"/>
    <s v="Consulting"/>
    <s v="January"/>
    <x v="174"/>
    <n v="11355"/>
    <s v="Over Budget"/>
    <m/>
  </r>
  <r>
    <x v="2"/>
    <s v="Consulting"/>
    <s v="July"/>
    <x v="231"/>
    <n v="4518"/>
    <s v="On Budget"/>
    <s v="Urgent need"/>
  </r>
  <r>
    <x v="0"/>
    <s v="Supplies"/>
    <s v="May"/>
    <x v="232"/>
    <n v="1217"/>
    <s v="On Budget"/>
    <m/>
  </r>
  <r>
    <x v="5"/>
    <s v="Software"/>
    <s v="December"/>
    <x v="233"/>
    <n v="2621"/>
    <s v="On Budget"/>
    <s v="Refund expected"/>
  </r>
  <r>
    <x v="3"/>
    <s v="Software"/>
    <s v="February"/>
    <x v="234"/>
    <n v="1649"/>
    <s v="On Budget"/>
    <m/>
  </r>
  <r>
    <x v="0"/>
    <s v="Training"/>
    <s v="November"/>
    <x v="235"/>
    <n v="4936"/>
    <s v="Over Budget"/>
    <s v="Refund expected"/>
  </r>
  <r>
    <x v="4"/>
    <s v="Consulting"/>
    <s v="November"/>
    <x v="236"/>
    <n v="5025"/>
    <s v="On Budget"/>
    <s v="Refund expected"/>
  </r>
  <r>
    <x v="1"/>
    <s v="Software"/>
    <s v="September"/>
    <x v="237"/>
    <n v="8838"/>
    <s v="Over Budget"/>
    <s v="Delayed approval"/>
  </r>
  <r>
    <x v="0"/>
    <s v="Supplies"/>
    <s v="April"/>
    <x v="238"/>
    <n v="11039"/>
    <s v="Over Budget"/>
    <s v="Refund expected"/>
  </r>
  <r>
    <x v="1"/>
    <s v="Training"/>
    <s v="October"/>
    <x v="239"/>
    <n v="7005"/>
    <s v="On Budget"/>
    <s v="Urgent need"/>
  </r>
  <r>
    <x v="0"/>
    <s v="Software"/>
    <s v="June"/>
    <x v="240"/>
    <n v="11868"/>
    <s v="Over Budget"/>
    <s v="Overspend"/>
  </r>
  <r>
    <x v="2"/>
    <s v="Equipment"/>
    <s v="December"/>
    <x v="241"/>
    <n v="8033"/>
    <s v="Over Budget"/>
    <s v="Overspend"/>
  </r>
  <r>
    <x v="3"/>
    <s v="Software"/>
    <s v="May"/>
    <x v="242"/>
    <n v="3132"/>
    <s v="On Budget"/>
    <s v="Urgent need"/>
  </r>
  <r>
    <x v="2"/>
    <s v="Supplies"/>
    <s v="August"/>
    <x v="243"/>
    <n v="10802"/>
    <s v="Over Budget"/>
    <s v="Urgent need"/>
  </r>
  <r>
    <x v="5"/>
    <s v="Travel"/>
    <s v="April"/>
    <x v="244"/>
    <n v="7267"/>
    <s v="On Budget"/>
    <m/>
  </r>
  <r>
    <x v="0"/>
    <s v="Equipment"/>
    <s v="November"/>
    <x v="245"/>
    <n v="5891"/>
    <s v="On Budget"/>
    <s v="Urgent need"/>
  </r>
  <r>
    <x v="1"/>
    <s v="Training"/>
    <s v="October"/>
    <x v="246"/>
    <n v="6988"/>
    <s v="Over Budget"/>
    <s v="Refund expected"/>
  </r>
  <r>
    <x v="4"/>
    <s v="Equipment"/>
    <s v="July"/>
    <x v="247"/>
    <n v="2896"/>
    <s v="On Budget"/>
    <s v="Urgent need"/>
  </r>
  <r>
    <x v="5"/>
    <s v="Training"/>
    <s v="July"/>
    <x v="248"/>
    <n v="2949"/>
    <s v="Over Budget"/>
    <s v="Delayed approval"/>
  </r>
  <r>
    <x v="0"/>
    <s v="Equipment"/>
    <s v="November"/>
    <x v="249"/>
    <n v="6328"/>
    <s v="On Budget"/>
    <s v="Urgent need"/>
  </r>
  <r>
    <x v="4"/>
    <s v="Travel"/>
    <s v="June"/>
    <x v="250"/>
    <n v="3280"/>
    <s v="On Budget"/>
    <s v="Overspend"/>
  </r>
  <r>
    <x v="4"/>
    <s v="Events"/>
    <s v="October"/>
    <x v="251"/>
    <n v="11407"/>
    <s v="Over Budget"/>
    <s v="Urgent need"/>
  </r>
  <r>
    <x v="0"/>
    <s v="Supplies"/>
    <s v="December"/>
    <x v="252"/>
    <n v="2148"/>
    <s v="On Budget"/>
    <m/>
  </r>
  <r>
    <x v="1"/>
    <s v="Software"/>
    <s v="March"/>
    <x v="253"/>
    <n v="9057"/>
    <s v="Over Budget"/>
    <s v="Urgent need"/>
  </r>
  <r>
    <x v="2"/>
    <s v="Training"/>
    <s v="August"/>
    <x v="254"/>
    <n v="11687"/>
    <s v="Over Budget"/>
    <s v="Refund expected"/>
  </r>
  <r>
    <x v="4"/>
    <s v="Training"/>
    <s v="August"/>
    <x v="255"/>
    <n v="1587"/>
    <s v="On Budget"/>
    <s v="Refund expected"/>
  </r>
  <r>
    <x v="5"/>
    <s v="Travel"/>
    <s v="July"/>
    <x v="256"/>
    <n v="8379"/>
    <s v="Over Budget"/>
    <s v="Refund expected"/>
  </r>
  <r>
    <x v="4"/>
    <s v="Consulting"/>
    <s v="December"/>
    <x v="257"/>
    <n v="3030"/>
    <s v="On Budget"/>
    <s v="Urgent need"/>
  </r>
  <r>
    <x v="3"/>
    <s v="Events"/>
    <s v="April"/>
    <x v="258"/>
    <n v="9689"/>
    <s v="Over Budget"/>
    <s v="Urgent need"/>
  </r>
  <r>
    <x v="6"/>
    <s v="Consulting"/>
    <s v="March"/>
    <x v="259"/>
    <n v="2491"/>
    <s v="On Budget"/>
    <s v="Delayed approval"/>
  </r>
  <r>
    <x v="6"/>
    <s v="Training"/>
    <s v="January"/>
    <x v="260"/>
    <n v="5363"/>
    <s v="On Budget"/>
    <s v="Overspend"/>
  </r>
  <r>
    <x v="4"/>
    <s v="Consulting"/>
    <s v="November"/>
    <x v="261"/>
    <n v="1264"/>
    <s v="Over Budget"/>
    <m/>
  </r>
  <r>
    <x v="1"/>
    <s v="Consulting"/>
    <s v="May"/>
    <x v="262"/>
    <n v="5204"/>
    <s v="Over Budget"/>
    <m/>
  </r>
  <r>
    <x v="3"/>
    <s v="Travel"/>
    <s v="December"/>
    <x v="263"/>
    <n v="9429"/>
    <s v="Over Budget"/>
    <s v="Urgent need"/>
  </r>
  <r>
    <x v="5"/>
    <s v="Training"/>
    <s v="October"/>
    <x v="264"/>
    <n v="9646"/>
    <s v="Over Budget"/>
    <s v="Delayed approval"/>
  </r>
  <r>
    <x v="4"/>
    <s v="Supplies"/>
    <s v="April"/>
    <x v="265"/>
    <n v="8443"/>
    <s v="Over Budget"/>
    <s v="Delayed approval"/>
  </r>
  <r>
    <x v="4"/>
    <s v="Training"/>
    <s v="January"/>
    <x v="266"/>
    <n v="8891"/>
    <s v="Over Budget"/>
    <s v="Delayed approval"/>
  </r>
  <r>
    <x v="0"/>
    <s v="Equipment"/>
    <s v="February"/>
    <x v="267"/>
    <n v="3122"/>
    <s v="On Budget"/>
    <s v="Urgent need"/>
  </r>
  <r>
    <x v="6"/>
    <s v="Software"/>
    <s v="January"/>
    <x v="268"/>
    <n v="11229"/>
    <s v="Over Budget"/>
    <m/>
  </r>
  <r>
    <x v="0"/>
    <s v="Equipment"/>
    <s v="December"/>
    <x v="269"/>
    <n v="1271"/>
    <s v="On Budget"/>
    <s v="Delayed approval"/>
  </r>
  <r>
    <x v="3"/>
    <s v="Equipment"/>
    <s v="April"/>
    <x v="270"/>
    <n v="6390"/>
    <s v="Over Budget"/>
    <s v="Delayed approval"/>
  </r>
  <r>
    <x v="6"/>
    <s v="Training"/>
    <s v="March"/>
    <x v="271"/>
    <n v="8706"/>
    <s v="Over Budget"/>
    <s v="Urgent need"/>
  </r>
  <r>
    <x v="1"/>
    <s v="Events"/>
    <s v="January"/>
    <x v="272"/>
    <n v="9472"/>
    <s v="Over Budget"/>
    <m/>
  </r>
  <r>
    <x v="6"/>
    <s v="Consulting"/>
    <s v="June"/>
    <x v="273"/>
    <n v="807"/>
    <s v="On Budget"/>
    <s v="Overspend"/>
  </r>
  <r>
    <x v="2"/>
    <s v="Supplies"/>
    <s v="September"/>
    <x v="274"/>
    <n v="843"/>
    <s v="On Budget"/>
    <s v="Overspend"/>
  </r>
  <r>
    <x v="5"/>
    <s v="Travel"/>
    <s v="April"/>
    <x v="275"/>
    <n v="1853"/>
    <s v="On Budget"/>
    <s v="Refund expected"/>
  </r>
  <r>
    <x v="0"/>
    <s v="Events"/>
    <s v="October"/>
    <x v="276"/>
    <n v="5535"/>
    <s v="On Budget"/>
    <m/>
  </r>
  <r>
    <x v="4"/>
    <s v="Travel"/>
    <s v="March"/>
    <x v="277"/>
    <n v="2127"/>
    <s v="On Budget"/>
    <s v="Delayed approval"/>
  </r>
  <r>
    <x v="0"/>
    <s v="Events"/>
    <s v="May"/>
    <x v="278"/>
    <n v="3434"/>
    <s v="On Budget"/>
    <s v="Urgent need"/>
  </r>
  <r>
    <x v="5"/>
    <s v="Events"/>
    <s v="November"/>
    <x v="279"/>
    <n v="7698"/>
    <s v="Over Budget"/>
    <s v="Refund expected"/>
  </r>
  <r>
    <x v="5"/>
    <s v="Travel"/>
    <s v="December"/>
    <x v="280"/>
    <n v="5651"/>
    <s v="On Budget"/>
    <s v="Overspend"/>
  </r>
  <r>
    <x v="4"/>
    <s v="Travel"/>
    <s v="October"/>
    <x v="281"/>
    <n v="2616"/>
    <s v="On Budget"/>
    <m/>
  </r>
  <r>
    <x v="2"/>
    <s v="Equipment"/>
    <s v="June"/>
    <x v="282"/>
    <n v="10266"/>
    <s v="Over Budget"/>
    <s v="Urgent need"/>
  </r>
  <r>
    <x v="2"/>
    <s v="Training"/>
    <s v="February"/>
    <x v="283"/>
    <n v="9246"/>
    <s v="Over Budget"/>
    <s v="Delayed approval"/>
  </r>
  <r>
    <x v="2"/>
    <s v="Travel"/>
    <s v="August"/>
    <x v="284"/>
    <n v="6856"/>
    <s v="Over Budget"/>
    <s v="Urgent need"/>
  </r>
  <r>
    <x v="6"/>
    <s v="Consulting"/>
    <s v="July"/>
    <x v="285"/>
    <n v="2450"/>
    <s v="On Budget"/>
    <s v="Delayed approval"/>
  </r>
  <r>
    <x v="3"/>
    <s v="Supplies"/>
    <s v="July"/>
    <x v="286"/>
    <n v="6782"/>
    <s v="On Budget"/>
    <s v="Refund expected"/>
  </r>
  <r>
    <x v="1"/>
    <s v="Consulting"/>
    <s v="December"/>
    <x v="287"/>
    <n v="7403"/>
    <s v="Over Budget"/>
    <s v="Overspend"/>
  </r>
  <r>
    <x v="6"/>
    <s v="Supplies"/>
    <s v="April"/>
    <x v="288"/>
    <n v="4862"/>
    <s v="Over Budget"/>
    <s v="Delayed approval"/>
  </r>
  <r>
    <x v="4"/>
    <s v="Training"/>
    <s v="October"/>
    <x v="289"/>
    <n v="8953"/>
    <s v="On Budget"/>
    <s v="Refund expected"/>
  </r>
  <r>
    <x v="3"/>
    <s v="Training"/>
    <s v="October"/>
    <x v="290"/>
    <n v="3904"/>
    <s v="On Budget"/>
    <s v="Urgent need"/>
  </r>
  <r>
    <x v="1"/>
    <s v="Training"/>
    <s v="October"/>
    <x v="291"/>
    <n v="5491"/>
    <s v="On Budget"/>
    <s v="Overspend"/>
  </r>
  <r>
    <x v="5"/>
    <s v="Travel"/>
    <s v="September"/>
    <x v="292"/>
    <n v="6484"/>
    <s v="On Budget"/>
    <m/>
  </r>
  <r>
    <x v="4"/>
    <s v="Travel"/>
    <s v="September"/>
    <x v="293"/>
    <n v="8670"/>
    <s v="Over Budget"/>
    <s v="Delayed approval"/>
  </r>
  <r>
    <x v="1"/>
    <s v="Training"/>
    <s v="July"/>
    <x v="294"/>
    <n v="1318"/>
    <s v="On Budget"/>
    <m/>
  </r>
  <r>
    <x v="3"/>
    <s v="Events"/>
    <s v="May"/>
    <x v="295"/>
    <n v="11251"/>
    <s v="Over Budget"/>
    <s v="Urgent need"/>
  </r>
  <r>
    <x v="3"/>
    <s v="Events"/>
    <s v="August"/>
    <x v="296"/>
    <n v="3025"/>
    <s v="On Budget"/>
    <s v="Overspend"/>
  </r>
  <r>
    <x v="0"/>
    <s v="Supplies"/>
    <s v="May"/>
    <x v="297"/>
    <n v="11194"/>
    <s v="Over Budget"/>
    <s v="Urgent need"/>
  </r>
  <r>
    <x v="2"/>
    <s v="Training"/>
    <s v="September"/>
    <x v="298"/>
    <n v="6688"/>
    <s v="Over Budget"/>
    <s v="Overspend"/>
  </r>
  <r>
    <x v="6"/>
    <s v="Consulting"/>
    <s v="January"/>
    <x v="299"/>
    <n v="1391"/>
    <s v="On Budget"/>
    <s v="Delayed approval"/>
  </r>
  <r>
    <x v="3"/>
    <s v="Training"/>
    <s v="January"/>
    <x v="300"/>
    <n v="5418"/>
    <s v="Over Budget"/>
    <s v="Delayed approval"/>
  </r>
  <r>
    <x v="1"/>
    <s v="Equipment"/>
    <s v="October"/>
    <x v="301"/>
    <n v="10293"/>
    <s v="Over Budget"/>
    <s v="Refund expected"/>
  </r>
  <r>
    <x v="6"/>
    <s v="Events"/>
    <s v="April"/>
    <x v="302"/>
    <n v="8292"/>
    <s v="Over Budget"/>
    <s v="Delayed approval"/>
  </r>
  <r>
    <x v="2"/>
    <s v="Consulting"/>
    <s v="June"/>
    <x v="303"/>
    <n v="5281"/>
    <s v="Over Budget"/>
    <m/>
  </r>
  <r>
    <x v="2"/>
    <s v="Travel"/>
    <s v="June"/>
    <x v="304"/>
    <n v="2316"/>
    <s v="Over Budget"/>
    <s v="Urgent need"/>
  </r>
  <r>
    <x v="0"/>
    <s v="Supplies"/>
    <s v="August"/>
    <x v="305"/>
    <n v="8014"/>
    <s v="Over Budget"/>
    <s v="Overspend"/>
  </r>
  <r>
    <x v="3"/>
    <s v="Events"/>
    <s v="February"/>
    <x v="306"/>
    <n v="11530"/>
    <s v="Over Budget"/>
    <s v="Overspend"/>
  </r>
  <r>
    <x v="0"/>
    <s v="Travel"/>
    <s v="September"/>
    <x v="32"/>
    <n v="4266"/>
    <s v="On Budget"/>
    <s v="Refund expected"/>
  </r>
  <r>
    <x v="4"/>
    <s v="Training"/>
    <s v="September"/>
    <x v="307"/>
    <n v="3570"/>
    <s v="On Budget"/>
    <s v="Overspend"/>
  </r>
  <r>
    <x v="1"/>
    <s v="Software"/>
    <s v="January"/>
    <x v="308"/>
    <n v="5459"/>
    <s v="Over Budget"/>
    <s v="Overspend"/>
  </r>
  <r>
    <x v="5"/>
    <s v="Training"/>
    <s v="August"/>
    <x v="309"/>
    <n v="1754"/>
    <s v="On Budget"/>
    <s v="Refund expected"/>
  </r>
  <r>
    <x v="5"/>
    <s v="Events"/>
    <s v="December"/>
    <x v="310"/>
    <n v="10878"/>
    <s v="Over Budget"/>
    <s v="Delayed approval"/>
  </r>
  <r>
    <x v="4"/>
    <s v="Training"/>
    <s v="January"/>
    <x v="311"/>
    <n v="6088"/>
    <s v="Over Budget"/>
    <s v="Delayed approval"/>
  </r>
  <r>
    <x v="0"/>
    <s v="Travel"/>
    <s v="July"/>
    <x v="312"/>
    <n v="2807"/>
    <s v="Over Budget"/>
    <m/>
  </r>
  <r>
    <x v="3"/>
    <s v="Training"/>
    <s v="February"/>
    <x v="313"/>
    <n v="9241"/>
    <s v="On Budget"/>
    <s v="Refund expected"/>
  </r>
  <r>
    <x v="1"/>
    <s v="Software"/>
    <s v="October"/>
    <x v="314"/>
    <n v="4621"/>
    <s v="Over Budget"/>
    <s v="Delayed approval"/>
  </r>
  <r>
    <x v="4"/>
    <s v="Supplies"/>
    <s v="September"/>
    <x v="315"/>
    <n v="1844"/>
    <s v="On Budget"/>
    <s v="Urgent need"/>
  </r>
  <r>
    <x v="0"/>
    <s v="Supplies"/>
    <s v="September"/>
    <x v="316"/>
    <n v="5952"/>
    <s v="On Budget"/>
    <s v="Refund expected"/>
  </r>
  <r>
    <x v="2"/>
    <s v="Events"/>
    <s v="December"/>
    <x v="317"/>
    <n v="6606"/>
    <s v="Over Budget"/>
    <s v="Urgent need"/>
  </r>
  <r>
    <x v="1"/>
    <s v="Equipment"/>
    <s v="February"/>
    <x v="318"/>
    <n v="3201"/>
    <s v="On Budget"/>
    <s v="Urgent need"/>
  </r>
  <r>
    <x v="2"/>
    <s v="Consulting"/>
    <s v="June"/>
    <x v="319"/>
    <n v="9212"/>
    <s v="Over Budget"/>
    <s v="Delayed approval"/>
  </r>
  <r>
    <x v="4"/>
    <s v="Consulting"/>
    <s v="December"/>
    <x v="320"/>
    <n v="1795"/>
    <s v="On Budget"/>
    <s v="Refund expected"/>
  </r>
  <r>
    <x v="6"/>
    <s v="Travel"/>
    <s v="October"/>
    <x v="321"/>
    <n v="10328"/>
    <s v="Over Budget"/>
    <s v="Urgent need"/>
  </r>
  <r>
    <x v="5"/>
    <s v="Supplies"/>
    <s v="February"/>
    <x v="322"/>
    <n v="11686"/>
    <s v="Over Budget"/>
    <s v="Urgent need"/>
  </r>
  <r>
    <x v="0"/>
    <s v="Consulting"/>
    <s v="February"/>
    <x v="323"/>
    <n v="5984"/>
    <s v="On Budget"/>
    <s v="Urgent need"/>
  </r>
  <r>
    <x v="0"/>
    <s v="Training"/>
    <s v="October"/>
    <x v="324"/>
    <n v="11794"/>
    <s v="Over Budget"/>
    <s v="Refund expected"/>
  </r>
  <r>
    <x v="0"/>
    <s v="Events"/>
    <s v="July"/>
    <x v="325"/>
    <n v="11818"/>
    <s v="Over Budget"/>
    <s v="Urgent need"/>
  </r>
  <r>
    <x v="0"/>
    <s v="Supplies"/>
    <s v="April"/>
    <x v="326"/>
    <n v="7588"/>
    <s v="Over Budget"/>
    <s v="Urgent need"/>
  </r>
  <r>
    <x v="3"/>
    <s v="Consulting"/>
    <s v="December"/>
    <x v="327"/>
    <n v="10028"/>
    <s v="Over Budget"/>
    <s v="Urgent need"/>
  </r>
  <r>
    <x v="1"/>
    <s v="Software"/>
    <s v="November"/>
    <x v="258"/>
    <n v="3972"/>
    <s v="On Budget"/>
    <s v="Urgent need"/>
  </r>
  <r>
    <x v="5"/>
    <s v="Events"/>
    <s v="July"/>
    <x v="328"/>
    <n v="1799"/>
    <s v="On Budget"/>
    <s v="Delayed approval"/>
  </r>
  <r>
    <x v="4"/>
    <s v="Travel"/>
    <s v="October"/>
    <x v="329"/>
    <n v="2980"/>
    <s v="On Budget"/>
    <s v="Urgent need"/>
  </r>
  <r>
    <x v="6"/>
    <s v="Supplies"/>
    <s v="April"/>
    <x v="188"/>
    <n v="9345"/>
    <s v="Over Budget"/>
    <s v="Refund expected"/>
  </r>
  <r>
    <x v="5"/>
    <s v="Software"/>
    <s v="July"/>
    <x v="330"/>
    <n v="8479"/>
    <s v="On Budget"/>
    <s v="Delayed approval"/>
  </r>
  <r>
    <x v="1"/>
    <s v="Software"/>
    <s v="February"/>
    <x v="331"/>
    <n v="4775"/>
    <s v="On Budget"/>
    <s v="Overspend"/>
  </r>
  <r>
    <x v="2"/>
    <s v="Consulting"/>
    <s v="January"/>
    <x v="332"/>
    <n v="10284"/>
    <s v="Over Budget"/>
    <s v="Urgent need"/>
  </r>
  <r>
    <x v="5"/>
    <s v="Supplies"/>
    <s v="July"/>
    <x v="333"/>
    <n v="2472"/>
    <s v="Over Budget"/>
    <s v="Refund expected"/>
  </r>
  <r>
    <x v="6"/>
    <s v="Events"/>
    <s v="July"/>
    <x v="334"/>
    <n v="10511"/>
    <s v="Over Budget"/>
    <s v="Overspend"/>
  </r>
  <r>
    <x v="6"/>
    <s v="Training"/>
    <s v="December"/>
    <x v="335"/>
    <n v="4780"/>
    <s v="Over Budget"/>
    <s v="Delayed approval"/>
  </r>
  <r>
    <x v="6"/>
    <s v="Equipment"/>
    <s v="January"/>
    <x v="336"/>
    <n v="9356"/>
    <s v="Over Budget"/>
    <s v="Overspend"/>
  </r>
  <r>
    <x v="2"/>
    <s v="Consulting"/>
    <s v="July"/>
    <x v="337"/>
    <n v="6966"/>
    <s v="Over Budget"/>
    <s v="Urgent need"/>
  </r>
  <r>
    <x v="6"/>
    <s v="Events"/>
    <s v="October"/>
    <x v="338"/>
    <n v="5535"/>
    <s v="On Budget"/>
    <s v="Overspend"/>
  </r>
  <r>
    <x v="4"/>
    <s v="Travel"/>
    <s v="January"/>
    <x v="339"/>
    <n v="6709"/>
    <s v="Over Budget"/>
    <s v="Delayed approval"/>
  </r>
  <r>
    <x v="5"/>
    <s v="Consulting"/>
    <s v="September"/>
    <x v="340"/>
    <n v="5517"/>
    <s v="On Budget"/>
    <s v="Refund expected"/>
  </r>
  <r>
    <x v="2"/>
    <s v="Events"/>
    <s v="February"/>
    <x v="341"/>
    <n v="8547"/>
    <s v="Over Budget"/>
    <s v="Overspend"/>
  </r>
  <r>
    <x v="2"/>
    <s v="Travel"/>
    <s v="February"/>
    <x v="342"/>
    <n v="3846"/>
    <s v="On Budget"/>
    <s v="Refund expected"/>
  </r>
  <r>
    <x v="0"/>
    <s v="Software"/>
    <s v="March"/>
    <x v="343"/>
    <n v="3007"/>
    <s v="On Budget"/>
    <s v="Delayed approval"/>
  </r>
  <r>
    <x v="2"/>
    <s v="Consulting"/>
    <s v="February"/>
    <x v="344"/>
    <n v="1888"/>
    <s v="Over Budget"/>
    <s v="Refund expected"/>
  </r>
  <r>
    <x v="2"/>
    <s v="Supplies"/>
    <s v="December"/>
    <x v="345"/>
    <n v="6765"/>
    <s v="Over Budget"/>
    <s v="Delayed approval"/>
  </r>
  <r>
    <x v="6"/>
    <s v="Equipment"/>
    <s v="April"/>
    <x v="346"/>
    <n v="886"/>
    <s v="On Budget"/>
    <s v="Urgent need"/>
  </r>
  <r>
    <x v="5"/>
    <s v="Events"/>
    <s v="January"/>
    <x v="347"/>
    <n v="10592"/>
    <s v="Over Budget"/>
    <s v="Refund expected"/>
  </r>
  <r>
    <x v="0"/>
    <s v="Training"/>
    <s v="April"/>
    <x v="348"/>
    <n v="11721"/>
    <s v="Over Budget"/>
    <s v="Refund expected"/>
  </r>
  <r>
    <x v="2"/>
    <s v="Travel"/>
    <s v="November"/>
    <x v="349"/>
    <n v="7574"/>
    <s v="On Budget"/>
    <m/>
  </r>
  <r>
    <x v="4"/>
    <s v="Training"/>
    <s v="June"/>
    <x v="350"/>
    <n v="1962"/>
    <s v="On Budget"/>
    <s v="Refund expected"/>
  </r>
  <r>
    <x v="6"/>
    <s v="Events"/>
    <s v="May"/>
    <x v="351"/>
    <n v="4309"/>
    <s v="On Budget"/>
    <s v="Refund expected"/>
  </r>
  <r>
    <x v="3"/>
    <s v="Travel"/>
    <s v="April"/>
    <x v="352"/>
    <n v="10879"/>
    <s v="Over Budget"/>
    <s v="Overspend"/>
  </r>
  <r>
    <x v="3"/>
    <s v="Supplies"/>
    <s v="September"/>
    <x v="353"/>
    <n v="1004"/>
    <s v="On Budget"/>
    <s v="Delayed approval"/>
  </r>
  <r>
    <x v="4"/>
    <s v="Software"/>
    <s v="February"/>
    <x v="354"/>
    <n v="10157"/>
    <s v="Over Budget"/>
    <s v="Overspend"/>
  </r>
  <r>
    <x v="2"/>
    <s v="Travel"/>
    <s v="November"/>
    <x v="355"/>
    <n v="7117"/>
    <s v="Over Budget"/>
    <s v="Urgent need"/>
  </r>
  <r>
    <x v="0"/>
    <s v="Software"/>
    <s v="June"/>
    <x v="356"/>
    <n v="2609"/>
    <s v="On Budget"/>
    <s v="Delayed approval"/>
  </r>
  <r>
    <x v="6"/>
    <s v="Software"/>
    <s v="February"/>
    <x v="357"/>
    <n v="2852"/>
    <s v="On Budget"/>
    <s v="Overspend"/>
  </r>
  <r>
    <x v="4"/>
    <s v="Events"/>
    <s v="October"/>
    <x v="358"/>
    <n v="5673"/>
    <s v="Over Budget"/>
    <s v="Refund expected"/>
  </r>
  <r>
    <x v="6"/>
    <s v="Events"/>
    <s v="October"/>
    <x v="359"/>
    <n v="8197"/>
    <s v="On Budget"/>
    <s v="Overspend"/>
  </r>
  <r>
    <x v="1"/>
    <s v="Consulting"/>
    <s v="February"/>
    <x v="360"/>
    <n v="9280"/>
    <s v="Over Budget"/>
    <s v="Overspend"/>
  </r>
  <r>
    <x v="0"/>
    <s v="Software"/>
    <s v="March"/>
    <x v="361"/>
    <n v="1976"/>
    <s v="On Budget"/>
    <s v="Overspend"/>
  </r>
  <r>
    <x v="2"/>
    <s v="Software"/>
    <s v="October"/>
    <x v="362"/>
    <n v="1653"/>
    <s v="On Budget"/>
    <s v="Overspend"/>
  </r>
  <r>
    <x v="2"/>
    <s v="Training"/>
    <s v="July"/>
    <x v="363"/>
    <n v="9933"/>
    <s v="Over Budget"/>
    <s v="Delayed approval"/>
  </r>
  <r>
    <x v="2"/>
    <s v="Equipment"/>
    <s v="January"/>
    <x v="364"/>
    <n v="5795"/>
    <s v="On Budget"/>
    <m/>
  </r>
  <r>
    <x v="5"/>
    <s v="Supplies"/>
    <s v="January"/>
    <x v="365"/>
    <n v="1405"/>
    <s v="On Budget"/>
    <s v="Delayed approval"/>
  </r>
  <r>
    <x v="6"/>
    <s v="Software"/>
    <s v="September"/>
    <x v="366"/>
    <n v="11306"/>
    <s v="Over Budget"/>
    <s v="Urgent need"/>
  </r>
  <r>
    <x v="2"/>
    <s v="Events"/>
    <s v="July"/>
    <x v="367"/>
    <n v="4841"/>
    <s v="Over Budget"/>
    <s v="Refund expected"/>
  </r>
  <r>
    <x v="1"/>
    <s v="Equipment"/>
    <s v="January"/>
    <x v="368"/>
    <n v="3718"/>
    <s v="On Budget"/>
    <m/>
  </r>
  <r>
    <x v="2"/>
    <s v="Software"/>
    <s v="January"/>
    <x v="369"/>
    <n v="7447"/>
    <s v="Over Budget"/>
    <s v="Overspend"/>
  </r>
  <r>
    <x v="1"/>
    <s v="Software"/>
    <s v="February"/>
    <x v="370"/>
    <n v="2439"/>
    <s v="On Budget"/>
    <m/>
  </r>
  <r>
    <x v="3"/>
    <s v="Software"/>
    <s v="June"/>
    <x v="371"/>
    <n v="11544"/>
    <s v="Over Budget"/>
    <m/>
  </r>
  <r>
    <x v="0"/>
    <s v="Supplies"/>
    <s v="February"/>
    <x v="372"/>
    <n v="7320"/>
    <s v="Over Budget"/>
    <s v="Urgent need"/>
  </r>
  <r>
    <x v="4"/>
    <s v="Software"/>
    <s v="August"/>
    <x v="373"/>
    <n v="8113"/>
    <s v="On Budget"/>
    <m/>
  </r>
  <r>
    <x v="3"/>
    <s v="Training"/>
    <s v="May"/>
    <x v="374"/>
    <n v="9264"/>
    <s v="Over Budget"/>
    <s v="Delayed approval"/>
  </r>
  <r>
    <x v="6"/>
    <s v="Events"/>
    <s v="June"/>
    <x v="375"/>
    <n v="5740"/>
    <s v="Over Budget"/>
    <s v="Overspend"/>
  </r>
  <r>
    <x v="2"/>
    <s v="Equipment"/>
    <s v="June"/>
    <x v="376"/>
    <n v="1281"/>
    <s v="On Budget"/>
    <s v="Refund expected"/>
  </r>
  <r>
    <x v="0"/>
    <s v="Supplies"/>
    <s v="February"/>
    <x v="377"/>
    <n v="4909"/>
    <s v="Over Budget"/>
    <m/>
  </r>
  <r>
    <x v="4"/>
    <s v="Equipment"/>
    <s v="May"/>
    <x v="378"/>
    <n v="6535"/>
    <s v="Over Budget"/>
    <s v="Refund expected"/>
  </r>
  <r>
    <x v="0"/>
    <s v="Equipment"/>
    <s v="February"/>
    <x v="379"/>
    <n v="4320"/>
    <s v="On Budget"/>
    <m/>
  </r>
  <r>
    <x v="1"/>
    <s v="Travel"/>
    <s v="June"/>
    <x v="380"/>
    <n v="5878"/>
    <s v="On Budget"/>
    <m/>
  </r>
  <r>
    <x v="6"/>
    <s v="Software"/>
    <s v="September"/>
    <x v="381"/>
    <n v="1677"/>
    <s v="On Budget"/>
    <s v="Refund expected"/>
  </r>
  <r>
    <x v="5"/>
    <s v="Equipment"/>
    <s v="January"/>
    <x v="382"/>
    <n v="2764"/>
    <s v="On Budget"/>
    <s v="Delayed approval"/>
  </r>
  <r>
    <x v="3"/>
    <s v="Travel"/>
    <s v="August"/>
    <x v="383"/>
    <n v="10256"/>
    <s v="Over Budget"/>
    <s v="Refund expected"/>
  </r>
  <r>
    <x v="3"/>
    <s v="Travel"/>
    <s v="January"/>
    <x v="384"/>
    <n v="10618"/>
    <s v="Over Budget"/>
    <m/>
  </r>
  <r>
    <x v="0"/>
    <s v="Training"/>
    <s v="January"/>
    <x v="385"/>
    <n v="7835"/>
    <s v="Over Budget"/>
    <s v="Overspend"/>
  </r>
  <r>
    <x v="4"/>
    <s v="Software"/>
    <s v="September"/>
    <x v="386"/>
    <n v="6591"/>
    <s v="Over Budget"/>
    <s v="Urgent need"/>
  </r>
  <r>
    <x v="6"/>
    <s v="Consulting"/>
    <s v="July"/>
    <x v="387"/>
    <n v="10508"/>
    <s v="Over Budget"/>
    <s v="Overspend"/>
  </r>
  <r>
    <x v="3"/>
    <s v="Consulting"/>
    <s v="April"/>
    <x v="388"/>
    <n v="4112"/>
    <s v="On Budget"/>
    <s v="Refund expected"/>
  </r>
  <r>
    <x v="6"/>
    <s v="Consulting"/>
    <s v="May"/>
    <x v="389"/>
    <n v="11555"/>
    <s v="Over Budget"/>
    <s v="Refund expected"/>
  </r>
  <r>
    <x v="6"/>
    <s v="Supplies"/>
    <s v="May"/>
    <x v="390"/>
    <n v="8404"/>
    <s v="On Budget"/>
    <s v="Delayed approval"/>
  </r>
  <r>
    <x v="6"/>
    <s v="Equipment"/>
    <s v="July"/>
    <x v="391"/>
    <n v="3244"/>
    <s v="On Budget"/>
    <s v="Delayed approval"/>
  </r>
  <r>
    <x v="2"/>
    <s v="Consulting"/>
    <s v="June"/>
    <x v="392"/>
    <n v="10215"/>
    <s v="Over Budget"/>
    <s v="Overspend"/>
  </r>
  <r>
    <x v="3"/>
    <s v="Equipment"/>
    <s v="May"/>
    <x v="393"/>
    <n v="6958"/>
    <s v="Over Budget"/>
    <s v="Overspend"/>
  </r>
  <r>
    <x v="2"/>
    <s v="Software"/>
    <s v="July"/>
    <x v="394"/>
    <n v="10703"/>
    <s v="Over Budget"/>
    <s v="Overspend"/>
  </r>
  <r>
    <x v="6"/>
    <s v="Events"/>
    <s v="August"/>
    <x v="395"/>
    <n v="10599"/>
    <s v="Over Budget"/>
    <m/>
  </r>
  <r>
    <x v="5"/>
    <s v="Travel"/>
    <s v="July"/>
    <x v="396"/>
    <n v="3321"/>
    <s v="Over Budget"/>
    <s v="Overspend"/>
  </r>
  <r>
    <x v="3"/>
    <s v="Travel"/>
    <s v="June"/>
    <x v="397"/>
    <n v="5421"/>
    <s v="On Budget"/>
    <s v="Delayed approval"/>
  </r>
  <r>
    <x v="2"/>
    <s v="Software"/>
    <s v="May"/>
    <x v="398"/>
    <n v="2976"/>
    <s v="On Budget"/>
    <m/>
  </r>
  <r>
    <x v="1"/>
    <s v="Equipment"/>
    <s v="February"/>
    <x v="399"/>
    <n v="7292"/>
    <s v="Over Budget"/>
    <s v="Delayed approval"/>
  </r>
  <r>
    <x v="1"/>
    <s v="Supplies"/>
    <s v="December"/>
    <x v="400"/>
    <n v="8696"/>
    <s v="Over Budget"/>
    <s v="Refund expected"/>
  </r>
  <r>
    <x v="4"/>
    <s v="Travel"/>
    <s v="September"/>
    <x v="401"/>
    <n v="4368"/>
    <s v="Over Budget"/>
    <s v="Delayed approval"/>
  </r>
  <r>
    <x v="0"/>
    <s v="Software"/>
    <s v="January"/>
    <x v="402"/>
    <n v="8075"/>
    <s v="Over Budget"/>
    <s v="Urgent need"/>
  </r>
  <r>
    <x v="5"/>
    <s v="Travel"/>
    <s v="November"/>
    <x v="403"/>
    <n v="11050"/>
    <s v="Over Budget"/>
    <m/>
  </r>
  <r>
    <x v="5"/>
    <s v="Events"/>
    <s v="November"/>
    <x v="404"/>
    <n v="9019"/>
    <s v="Over Budget"/>
    <m/>
  </r>
  <r>
    <x v="3"/>
    <s v="Events"/>
    <s v="December"/>
    <x v="405"/>
    <n v="8371"/>
    <s v="Over Budget"/>
    <s v="Overspend"/>
  </r>
  <r>
    <x v="3"/>
    <s v="Supplies"/>
    <s v="June"/>
    <x v="406"/>
    <n v="5009"/>
    <s v="On Budget"/>
    <s v="Delayed approval"/>
  </r>
  <r>
    <x v="1"/>
    <s v="Events"/>
    <s v="February"/>
    <x v="407"/>
    <n v="3671"/>
    <s v="On Budget"/>
    <m/>
  </r>
  <r>
    <x v="5"/>
    <s v="Supplies"/>
    <s v="August"/>
    <x v="408"/>
    <n v="10916"/>
    <s v="Over Budget"/>
    <m/>
  </r>
  <r>
    <x v="4"/>
    <s v="Consulting"/>
    <s v="February"/>
    <x v="409"/>
    <n v="3641"/>
    <s v="On Budget"/>
    <m/>
  </r>
  <r>
    <x v="4"/>
    <s v="Supplies"/>
    <s v="October"/>
    <x v="410"/>
    <n v="11752"/>
    <s v="Over Budget"/>
    <s v="Refund expected"/>
  </r>
  <r>
    <x v="6"/>
    <s v="Software"/>
    <s v="November"/>
    <x v="411"/>
    <n v="10915"/>
    <s v="Over Budget"/>
    <m/>
  </r>
  <r>
    <x v="4"/>
    <s v="Travel"/>
    <s v="December"/>
    <x v="412"/>
    <n v="11179"/>
    <s v="Over Budget"/>
    <m/>
  </r>
  <r>
    <x v="0"/>
    <s v="Software"/>
    <s v="May"/>
    <x v="401"/>
    <n v="864"/>
    <s v="On Budget"/>
    <s v="Delayed approval"/>
  </r>
  <r>
    <x v="1"/>
    <s v="Consulting"/>
    <s v="April"/>
    <x v="413"/>
    <n v="5280"/>
    <s v="On Budget"/>
    <s v="Refund expected"/>
  </r>
  <r>
    <x v="5"/>
    <s v="Training"/>
    <s v="December"/>
    <x v="153"/>
    <n v="10869"/>
    <s v="Over Budget"/>
    <s v="Delayed approval"/>
  </r>
  <r>
    <x v="3"/>
    <s v="Training"/>
    <s v="January"/>
    <x v="414"/>
    <n v="8256"/>
    <s v="On Budget"/>
    <s v="Overspend"/>
  </r>
  <r>
    <x v="0"/>
    <s v="Travel"/>
    <s v="July"/>
    <x v="415"/>
    <n v="9194"/>
    <s v="Over Budget"/>
    <s v="Urgent need"/>
  </r>
  <r>
    <x v="4"/>
    <s v="Equipment"/>
    <s v="December"/>
    <x v="416"/>
    <n v="6863"/>
    <s v="Over Budget"/>
    <s v="Delayed approval"/>
  </r>
  <r>
    <x v="5"/>
    <s v="Events"/>
    <s v="September"/>
    <x v="417"/>
    <n v="2542"/>
    <s v="On Budget"/>
    <s v="Delayed approval"/>
  </r>
  <r>
    <x v="1"/>
    <s v="Consulting"/>
    <s v="January"/>
    <x v="418"/>
    <n v="4732"/>
    <s v="On Budget"/>
    <s v="Urgent need"/>
  </r>
  <r>
    <x v="3"/>
    <s v="Supplies"/>
    <s v="June"/>
    <x v="419"/>
    <n v="7890"/>
    <s v="On Budget"/>
    <s v="Delayed approval"/>
  </r>
  <r>
    <x v="1"/>
    <s v="Supplies"/>
    <s v="August"/>
    <x v="420"/>
    <n v="3660"/>
    <s v="On Budget"/>
    <s v="Delayed approval"/>
  </r>
  <r>
    <x v="6"/>
    <s v="Supplies"/>
    <s v="January"/>
    <x v="421"/>
    <n v="5287"/>
    <s v="On Budget"/>
    <m/>
  </r>
  <r>
    <x v="6"/>
    <s v="Consulting"/>
    <s v="June"/>
    <x v="422"/>
    <n v="5118"/>
    <s v="Over Budget"/>
    <m/>
  </r>
  <r>
    <x v="2"/>
    <s v="Events"/>
    <s v="August"/>
    <x v="423"/>
    <n v="4180"/>
    <s v="On Budget"/>
    <s v="Overspend"/>
  </r>
  <r>
    <x v="4"/>
    <s v="Supplies"/>
    <s v="January"/>
    <x v="424"/>
    <n v="11675"/>
    <s v="Over Budget"/>
    <s v="Overspend"/>
  </r>
  <r>
    <x v="1"/>
    <s v="Training"/>
    <s v="January"/>
    <x v="425"/>
    <n v="8373"/>
    <s v="Over Budget"/>
    <s v="Delayed approval"/>
  </r>
  <r>
    <x v="3"/>
    <s v="Consulting"/>
    <s v="December"/>
    <x v="426"/>
    <n v="11043"/>
    <s v="Over Budget"/>
    <s v="Refund expected"/>
  </r>
  <r>
    <x v="3"/>
    <s v="Events"/>
    <s v="November"/>
    <x v="427"/>
    <n v="6466"/>
    <s v="On Budget"/>
    <m/>
  </r>
  <r>
    <x v="3"/>
    <s v="Software"/>
    <s v="March"/>
    <x v="428"/>
    <n v="4554"/>
    <s v="Over Budget"/>
    <s v="Overspend"/>
  </r>
  <r>
    <x v="5"/>
    <s v="Travel"/>
    <s v="October"/>
    <x v="429"/>
    <n v="8338"/>
    <s v="Over Budget"/>
    <s v="Urgent need"/>
  </r>
  <r>
    <x v="0"/>
    <s v="Travel"/>
    <s v="October"/>
    <x v="430"/>
    <n v="7488"/>
    <s v="Over Budget"/>
    <m/>
  </r>
  <r>
    <x v="5"/>
    <s v="Travel"/>
    <s v="March"/>
    <x v="431"/>
    <n v="11633"/>
    <s v="Over Budget"/>
    <s v="Delayed approval"/>
  </r>
  <r>
    <x v="4"/>
    <s v="Travel"/>
    <s v="February"/>
    <x v="419"/>
    <n v="6073"/>
    <s v="On Budget"/>
    <s v="Urgent need"/>
  </r>
  <r>
    <x v="5"/>
    <s v="Equipment"/>
    <s v="May"/>
    <x v="432"/>
    <n v="7714"/>
    <s v="Over Budget"/>
    <m/>
  </r>
  <r>
    <x v="2"/>
    <s v="Training"/>
    <s v="March"/>
    <x v="433"/>
    <n v="1674"/>
    <s v="On Budget"/>
    <s v="Overspend"/>
  </r>
  <r>
    <x v="0"/>
    <s v="Supplies"/>
    <s v="September"/>
    <x v="434"/>
    <n v="3376"/>
    <s v="On Budget"/>
    <s v="Delayed approval"/>
  </r>
  <r>
    <x v="1"/>
    <s v="Equipment"/>
    <s v="June"/>
    <x v="435"/>
    <n v="6967"/>
    <s v="Over Budget"/>
    <s v="Refund expected"/>
  </r>
  <r>
    <x v="4"/>
    <s v="Events"/>
    <s v="March"/>
    <x v="436"/>
    <n v="2121"/>
    <s v="On Budget"/>
    <s v="Urgent need"/>
  </r>
  <r>
    <x v="5"/>
    <s v="Events"/>
    <s v="February"/>
    <x v="437"/>
    <n v="11357"/>
    <s v="Over Budget"/>
    <s v="Overspend"/>
  </r>
  <r>
    <x v="4"/>
    <s v="Software"/>
    <s v="September"/>
    <x v="438"/>
    <n v="5008"/>
    <s v="Over Budget"/>
    <s v="Delayed approval"/>
  </r>
  <r>
    <x v="2"/>
    <s v="Travel"/>
    <s v="March"/>
    <x v="439"/>
    <n v="5702"/>
    <s v="Over Budget"/>
    <s v="Overspend"/>
  </r>
  <r>
    <x v="5"/>
    <s v="Supplies"/>
    <s v="September"/>
    <x v="440"/>
    <n v="7355"/>
    <s v="Over Budget"/>
    <s v="Urgent need"/>
  </r>
  <r>
    <x v="6"/>
    <s v="Equipment"/>
    <s v="September"/>
    <x v="441"/>
    <n v="11701"/>
    <s v="Over Budget"/>
    <s v="Refund expected"/>
  </r>
  <r>
    <x v="5"/>
    <s v="Software"/>
    <s v="February"/>
    <x v="442"/>
    <n v="10423"/>
    <s v="Over Budget"/>
    <s v="Urgent need"/>
  </r>
  <r>
    <x v="2"/>
    <s v="Travel"/>
    <s v="July"/>
    <x v="284"/>
    <n v="11796"/>
    <s v="Over Budget"/>
    <s v="Urgent need"/>
  </r>
  <r>
    <x v="0"/>
    <s v="Software"/>
    <s v="May"/>
    <x v="197"/>
    <n v="1301"/>
    <s v="On Budget"/>
    <s v="Delayed approval"/>
  </r>
  <r>
    <x v="3"/>
    <s v="Equipment"/>
    <s v="November"/>
    <x v="443"/>
    <n v="1404"/>
    <s v="On Budget"/>
    <m/>
  </r>
  <r>
    <x v="1"/>
    <s v="Supplies"/>
    <s v="November"/>
    <x v="444"/>
    <n v="4818"/>
    <s v="Over Budget"/>
    <s v="Urgent need"/>
  </r>
  <r>
    <x v="0"/>
    <s v="Supplies"/>
    <s v="October"/>
    <x v="445"/>
    <n v="1833"/>
    <s v="On Budget"/>
    <m/>
  </r>
  <r>
    <x v="6"/>
    <s v="Equipment"/>
    <s v="August"/>
    <x v="446"/>
    <n v="3418"/>
    <s v="On Budget"/>
    <s v="Delayed approval"/>
  </r>
  <r>
    <x v="0"/>
    <s v="Software"/>
    <s v="August"/>
    <x v="447"/>
    <n v="5797"/>
    <s v="Over Budget"/>
    <s v="Refund expected"/>
  </r>
  <r>
    <x v="6"/>
    <s v="Travel"/>
    <s v="April"/>
    <x v="448"/>
    <n v="4164"/>
    <s v="On Budget"/>
    <s v="Refund expected"/>
  </r>
  <r>
    <x v="2"/>
    <s v="Consulting"/>
    <s v="March"/>
    <x v="449"/>
    <n v="2736"/>
    <s v="On Budget"/>
    <s v="Delayed approval"/>
  </r>
  <r>
    <x v="1"/>
    <s v="Training"/>
    <s v="October"/>
    <x v="450"/>
    <n v="2783"/>
    <s v="On Budget"/>
    <s v="Overspend"/>
  </r>
  <r>
    <x v="1"/>
    <s v="Consulting"/>
    <s v="June"/>
    <x v="451"/>
    <n v="6681"/>
    <s v="On Budget"/>
    <s v="Refund expected"/>
  </r>
  <r>
    <x v="1"/>
    <s v="Consulting"/>
    <s v="December"/>
    <x v="452"/>
    <n v="4990"/>
    <s v="Over Budget"/>
    <s v="Refund expected"/>
  </r>
  <r>
    <x v="0"/>
    <s v="Equipment"/>
    <s v="June"/>
    <x v="453"/>
    <n v="1195"/>
    <s v="On Budget"/>
    <s v="Overspend"/>
  </r>
  <r>
    <x v="4"/>
    <s v="Travel"/>
    <s v="June"/>
    <x v="454"/>
    <n v="9253"/>
    <s v="Over Budget"/>
    <s v="Refund expected"/>
  </r>
  <r>
    <x v="0"/>
    <s v="Training"/>
    <s v="September"/>
    <x v="412"/>
    <n v="10601"/>
    <s v="Over Budget"/>
    <s v="Delayed approval"/>
  </r>
  <r>
    <x v="5"/>
    <s v="Consulting"/>
    <s v="December"/>
    <x v="455"/>
    <n v="8355"/>
    <s v="Over Budget"/>
    <s v="Delayed approval"/>
  </r>
  <r>
    <x v="0"/>
    <s v="Training"/>
    <s v="March"/>
    <x v="456"/>
    <n v="1038"/>
    <s v="On Budget"/>
    <s v="Overspend"/>
  </r>
  <r>
    <x v="2"/>
    <s v="Software"/>
    <s v="June"/>
    <x v="457"/>
    <n v="2714"/>
    <s v="On Budget"/>
    <m/>
  </r>
  <r>
    <x v="6"/>
    <s v="Supplies"/>
    <s v="September"/>
    <x v="458"/>
    <n v="6119"/>
    <s v="Over Budget"/>
    <s v="Overspend"/>
  </r>
  <r>
    <x v="3"/>
    <s v="Travel"/>
    <s v="April"/>
    <x v="459"/>
    <n v="8010"/>
    <s v="Over Budget"/>
    <s v="Delayed approval"/>
  </r>
  <r>
    <x v="3"/>
    <s v="Supplies"/>
    <s v="July"/>
    <x v="460"/>
    <n v="11438"/>
    <s v="Over Budget"/>
    <s v="Refund expected"/>
  </r>
  <r>
    <x v="6"/>
    <s v="Training"/>
    <s v="July"/>
    <x v="461"/>
    <n v="9511"/>
    <s v="Over Budget"/>
    <s v="Overspend"/>
  </r>
  <r>
    <x v="5"/>
    <s v="Events"/>
    <s v="October"/>
    <x v="462"/>
    <n v="1829"/>
    <s v="On Budget"/>
    <s v="Urgent need"/>
  </r>
  <r>
    <x v="2"/>
    <s v="Events"/>
    <s v="April"/>
    <x v="174"/>
    <n v="8005"/>
    <s v="Over Budget"/>
    <m/>
  </r>
  <r>
    <x v="2"/>
    <s v="Software"/>
    <s v="October"/>
    <x v="463"/>
    <n v="2584"/>
    <s v="On Budget"/>
    <m/>
  </r>
  <r>
    <x v="2"/>
    <s v="Training"/>
    <s v="September"/>
    <x v="464"/>
    <n v="5056"/>
    <s v="On Budget"/>
    <s v="Refund expected"/>
  </r>
  <r>
    <x v="0"/>
    <s v="Equipment"/>
    <s v="July"/>
    <x v="465"/>
    <n v="4762"/>
    <s v="On Budget"/>
    <s v="Refund expected"/>
  </r>
  <r>
    <x v="3"/>
    <s v="Travel"/>
    <s v="August"/>
    <x v="466"/>
    <n v="6795"/>
    <s v="Over Budget"/>
    <s v="Overspend"/>
  </r>
  <r>
    <x v="5"/>
    <s v="Supplies"/>
    <s v="July"/>
    <x v="467"/>
    <n v="5194"/>
    <s v="Over Budget"/>
    <s v="Refund expected"/>
  </r>
  <r>
    <x v="0"/>
    <s v="Consulting"/>
    <s v="June"/>
    <x v="468"/>
    <n v="8572"/>
    <s v="Over Budget"/>
    <s v="Delayed approval"/>
  </r>
  <r>
    <x v="6"/>
    <s v="Travel"/>
    <s v="August"/>
    <x v="469"/>
    <n v="5012"/>
    <s v="Over Budget"/>
    <s v="Refund expected"/>
  </r>
  <r>
    <x v="1"/>
    <s v="Equipment"/>
    <s v="January"/>
    <x v="470"/>
    <n v="4554"/>
    <s v="On Budget"/>
    <m/>
  </r>
  <r>
    <x v="2"/>
    <s v="Software"/>
    <s v="December"/>
    <x v="471"/>
    <n v="4130"/>
    <s v="Over Budget"/>
    <s v="Refund expected"/>
  </r>
  <r>
    <x v="6"/>
    <s v="Events"/>
    <s v="November"/>
    <x v="472"/>
    <n v="5760"/>
    <s v="On Budget"/>
    <s v="Refund expected"/>
  </r>
  <r>
    <x v="4"/>
    <s v="Consulting"/>
    <s v="May"/>
    <x v="473"/>
    <n v="4565"/>
    <s v="On Budget"/>
    <s v="Overspend"/>
  </r>
  <r>
    <x v="3"/>
    <s v="Supplies"/>
    <s v="November"/>
    <x v="474"/>
    <n v="3905"/>
    <s v="On Budget"/>
    <m/>
  </r>
  <r>
    <x v="5"/>
    <s v="Travel"/>
    <s v="January"/>
    <x v="475"/>
    <n v="2334"/>
    <s v="On Budget"/>
    <s v="Overspend"/>
  </r>
  <r>
    <x v="6"/>
    <s v="Software"/>
    <s v="March"/>
    <x v="476"/>
    <n v="10767"/>
    <s v="Over Budget"/>
    <s v="Delayed approval"/>
  </r>
  <r>
    <x v="5"/>
    <s v="Consulting"/>
    <s v="June"/>
    <x v="477"/>
    <n v="7247"/>
    <s v="On Budget"/>
    <m/>
  </r>
  <r>
    <x v="4"/>
    <s v="Supplies"/>
    <s v="August"/>
    <x v="478"/>
    <n v="2580"/>
    <s v="On Budget"/>
    <s v="Urgent need"/>
  </r>
  <r>
    <x v="1"/>
    <s v="Supplies"/>
    <s v="July"/>
    <x v="479"/>
    <n v="8071"/>
    <s v="On Budget"/>
    <s v="Delayed approval"/>
  </r>
  <r>
    <x v="3"/>
    <s v="Travel"/>
    <s v="September"/>
    <x v="480"/>
    <n v="8083"/>
    <s v="Over Budget"/>
    <s v="Delayed approval"/>
  </r>
  <r>
    <x v="5"/>
    <s v="Travel"/>
    <s v="May"/>
    <x v="481"/>
    <n v="7854"/>
    <s v="Over Budget"/>
    <s v="Overspend"/>
  </r>
  <r>
    <x v="5"/>
    <s v="Supplies"/>
    <s v="May"/>
    <x v="482"/>
    <n v="11503"/>
    <s v="Over Budget"/>
    <m/>
  </r>
  <r>
    <x v="5"/>
    <s v="Software"/>
    <s v="January"/>
    <x v="483"/>
    <n v="7748"/>
    <s v="On Budget"/>
    <s v="Overspend"/>
  </r>
  <r>
    <x v="0"/>
    <s v="Training"/>
    <s v="March"/>
    <x v="484"/>
    <n v="2390"/>
    <s v="On Budget"/>
    <s v="Urgent need"/>
  </r>
  <r>
    <x v="3"/>
    <s v="Software"/>
    <s v="February"/>
    <x v="485"/>
    <n v="4536"/>
    <s v="On Budget"/>
    <s v="Delayed approval"/>
  </r>
  <r>
    <x v="0"/>
    <s v="Equipment"/>
    <s v="November"/>
    <x v="486"/>
    <n v="2157"/>
    <s v="On Budge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27875-7182-4304-82D6-301ACF91F5F8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s">
  <location ref="J2:L11" firstHeaderRow="0" firstDataRow="1" firstDataCol="1"/>
  <pivotFields count="7">
    <pivotField axis="axisRow" showAll="0">
      <items count="9">
        <item x="6"/>
        <item x="0"/>
        <item x="3"/>
        <item x="2"/>
        <item x="4"/>
        <item x="5"/>
        <item x="1"/>
        <item f="1" x="7"/>
        <item t="default"/>
      </items>
    </pivotField>
    <pivotField showAll="0"/>
    <pivotField showAll="0"/>
    <pivotField dataField="1" showAll="0">
      <items count="488">
        <item x="481"/>
        <item x="82"/>
        <item x="363"/>
        <item x="438"/>
        <item x="217"/>
        <item x="305"/>
        <item x="412"/>
        <item x="261"/>
        <item x="393"/>
        <item x="114"/>
        <item x="301"/>
        <item x="77"/>
        <item x="337"/>
        <item x="29"/>
        <item x="298"/>
        <item x="141"/>
        <item x="122"/>
        <item x="469"/>
        <item x="378"/>
        <item x="88"/>
        <item x="447"/>
        <item x="103"/>
        <item x="392"/>
        <item x="162"/>
        <item x="206"/>
        <item x="415"/>
        <item x="440"/>
        <item x="188"/>
        <item x="344"/>
        <item x="63"/>
        <item x="118"/>
        <item x="42"/>
        <item x="262"/>
        <item x="467"/>
        <item x="205"/>
        <item x="131"/>
        <item x="399"/>
        <item x="458"/>
        <item x="228"/>
        <item x="395"/>
        <item x="422"/>
        <item x="123"/>
        <item x="400"/>
        <item x="130"/>
        <item x="14"/>
        <item x="113"/>
        <item x="115"/>
        <item x="295"/>
        <item x="452"/>
        <item x="89"/>
        <item x="170"/>
        <item x="288"/>
        <item x="358"/>
        <item x="248"/>
        <item x="437"/>
        <item x="304"/>
        <item x="333"/>
        <item x="210"/>
        <item x="117"/>
        <item x="182"/>
        <item x="78"/>
        <item x="277"/>
        <item x="75"/>
        <item x="365"/>
        <item x="263"/>
        <item x="303"/>
        <item x="201"/>
        <item x="431"/>
        <item x="62"/>
        <item x="480"/>
        <item x="375"/>
        <item x="220"/>
        <item x="317"/>
        <item x="55"/>
        <item x="428"/>
        <item x="59"/>
        <item x="207"/>
        <item x="216"/>
        <item x="315"/>
        <item x="124"/>
        <item x="38"/>
        <item x="187"/>
        <item x="219"/>
        <item x="471"/>
        <item x="98"/>
        <item x="271"/>
        <item x="60"/>
        <item x="417"/>
        <item x="312"/>
        <item x="12"/>
        <item x="466"/>
        <item x="58"/>
        <item x="72"/>
        <item x="348"/>
        <item x="334"/>
        <item x="11"/>
        <item x="101"/>
        <item x="108"/>
        <item x="405"/>
        <item x="9"/>
        <item x="226"/>
        <item x="107"/>
        <item x="444"/>
        <item x="376"/>
        <item x="401"/>
        <item x="396"/>
        <item x="223"/>
        <item x="394"/>
        <item x="383"/>
        <item x="435"/>
        <item x="385"/>
        <item x="33"/>
        <item x="439"/>
        <item x="17"/>
        <item x="68"/>
        <item x="335"/>
        <item x="102"/>
        <item x="159"/>
        <item x="61"/>
        <item x="402"/>
        <item x="158"/>
        <item x="293"/>
        <item x="146"/>
        <item x="374"/>
        <item x="284"/>
        <item x="360"/>
        <item x="209"/>
        <item x="221"/>
        <item x="119"/>
        <item x="283"/>
        <item x="476"/>
        <item x="166"/>
        <item x="164"/>
        <item x="87"/>
        <item x="36"/>
        <item x="127"/>
        <item x="121"/>
        <item x="257"/>
        <item x="28"/>
        <item x="48"/>
        <item x="50"/>
        <item x="222"/>
        <item x="329"/>
        <item x="69"/>
        <item x="174"/>
        <item x="252"/>
        <item x="49"/>
        <item x="116"/>
        <item x="147"/>
        <item x="97"/>
        <item x="73"/>
        <item x="15"/>
        <item x="13"/>
        <item x="462"/>
        <item x="208"/>
        <item x="198"/>
        <item x="279"/>
        <item x="314"/>
        <item x="367"/>
        <item x="90"/>
        <item x="281"/>
        <item x="3"/>
        <item x="26"/>
        <item x="441"/>
        <item x="44"/>
        <item x="203"/>
        <item x="237"/>
        <item x="212"/>
        <item x="384"/>
        <item x="266"/>
        <item x="96"/>
        <item x="265"/>
        <item x="135"/>
        <item x="161"/>
        <item x="191"/>
        <item x="324"/>
        <item x="379"/>
        <item x="432"/>
        <item x="235"/>
        <item x="326"/>
        <item x="71"/>
        <item x="386"/>
        <item x="377"/>
        <item x="369"/>
        <item x="371"/>
        <item x="240"/>
        <item x="372"/>
        <item x="19"/>
        <item x="213"/>
        <item x="268"/>
        <item x="53"/>
        <item x="300"/>
        <item x="287"/>
        <item x="10"/>
        <item x="132"/>
        <item x="105"/>
        <item x="211"/>
        <item x="65"/>
        <item x="153"/>
        <item x="331"/>
        <item x="51"/>
        <item x="389"/>
        <item x="308"/>
        <item x="411"/>
        <item x="243"/>
        <item x="320"/>
        <item x="238"/>
        <item x="272"/>
        <item x="478"/>
        <item x="175"/>
        <item x="110"/>
        <item x="341"/>
        <item x="294"/>
        <item x="32"/>
        <item x="345"/>
        <item x="83"/>
        <item x="94"/>
        <item x="270"/>
        <item x="142"/>
        <item x="350"/>
        <item x="233"/>
        <item x="34"/>
        <item x="247"/>
        <item x="420"/>
        <item x="346"/>
        <item x="311"/>
        <item x="347"/>
        <item x="76"/>
        <item x="224"/>
        <item x="409"/>
        <item x="128"/>
        <item x="236"/>
        <item x="99"/>
        <item x="429"/>
        <item x="274"/>
        <item x="310"/>
        <item x="433"/>
        <item x="246"/>
        <item x="368"/>
        <item x="430"/>
        <item x="145"/>
        <item x="325"/>
        <item x="196"/>
        <item x="404"/>
        <item x="180"/>
        <item x="291"/>
        <item x="27"/>
        <item x="178"/>
        <item x="2"/>
        <item x="484"/>
        <item x="482"/>
        <item x="407"/>
        <item x="229"/>
        <item x="445"/>
        <item x="129"/>
        <item x="446"/>
        <item x="356"/>
        <item x="194"/>
        <item x="168"/>
        <item x="57"/>
        <item x="470"/>
        <item x="251"/>
        <item x="193"/>
        <item x="234"/>
        <item x="256"/>
        <item x="104"/>
        <item x="253"/>
        <item x="171"/>
        <item x="397"/>
        <item x="148"/>
        <item x="339"/>
        <item x="463"/>
        <item x="342"/>
        <item x="460"/>
        <item x="5"/>
        <item x="35"/>
        <item x="264"/>
        <item x="181"/>
        <item x="45"/>
        <item x="190"/>
        <item x="22"/>
        <item x="416"/>
        <item x="449"/>
        <item x="154"/>
        <item x="425"/>
        <item x="302"/>
        <item x="126"/>
        <item x="403"/>
        <item x="434"/>
        <item x="133"/>
        <item x="202"/>
        <item x="95"/>
        <item x="54"/>
        <item x="23"/>
        <item x="21"/>
        <item x="16"/>
        <item x="307"/>
        <item x="100"/>
        <item x="111"/>
        <item x="39"/>
        <item x="297"/>
        <item x="66"/>
        <item x="353"/>
        <item x="173"/>
        <item x="18"/>
        <item x="380"/>
        <item x="338"/>
        <item x="322"/>
        <item x="319"/>
        <item x="352"/>
        <item x="225"/>
        <item x="318"/>
        <item x="453"/>
        <item x="155"/>
        <item x="421"/>
        <item x="150"/>
        <item x="362"/>
        <item x="214"/>
        <item x="474"/>
        <item x="93"/>
        <item x="459"/>
        <item x="296"/>
        <item x="451"/>
        <item x="306"/>
        <item x="280"/>
        <item x="355"/>
        <item x="52"/>
        <item x="151"/>
        <item x="255"/>
        <item x="67"/>
        <item x="366"/>
        <item x="227"/>
        <item x="143"/>
        <item x="156"/>
        <item x="448"/>
        <item x="74"/>
        <item x="285"/>
        <item x="286"/>
        <item x="258"/>
        <item x="278"/>
        <item x="328"/>
        <item x="242"/>
        <item x="267"/>
        <item x="323"/>
        <item x="260"/>
        <item x="139"/>
        <item x="455"/>
        <item x="370"/>
        <item x="64"/>
        <item x="136"/>
        <item x="183"/>
        <item x="276"/>
        <item x="275"/>
        <item x="343"/>
        <item x="282"/>
        <item x="457"/>
        <item x="239"/>
        <item x="309"/>
        <item x="468"/>
        <item x="163"/>
        <item x="332"/>
        <item x="176"/>
        <item x="86"/>
        <item x="185"/>
        <item x="197"/>
        <item x="464"/>
        <item x="241"/>
        <item x="70"/>
        <item x="382"/>
        <item x="134"/>
        <item x="443"/>
        <item x="321"/>
        <item x="215"/>
        <item x="43"/>
        <item x="426"/>
        <item x="456"/>
        <item x="327"/>
        <item x="450"/>
        <item x="24"/>
        <item x="112"/>
        <item x="254"/>
        <item x="454"/>
        <item x="485"/>
        <item x="436"/>
        <item x="92"/>
        <item x="461"/>
        <item x="165"/>
        <item x="79"/>
        <item x="475"/>
        <item x="152"/>
        <item x="125"/>
        <item x="37"/>
        <item x="465"/>
        <item x="442"/>
        <item x="177"/>
        <item x="479"/>
        <item x="144"/>
        <item x="250"/>
        <item x="361"/>
        <item x="316"/>
        <item x="218"/>
        <item x="299"/>
        <item x="473"/>
        <item x="149"/>
        <item x="381"/>
        <item x="273"/>
        <item x="477"/>
        <item x="249"/>
        <item x="186"/>
        <item x="200"/>
        <item x="184"/>
        <item x="483"/>
        <item x="91"/>
        <item x="47"/>
        <item x="406"/>
        <item x="189"/>
        <item x="351"/>
        <item x="391"/>
        <item x="373"/>
        <item x="387"/>
        <item x="410"/>
        <item x="398"/>
        <item x="0"/>
        <item x="414"/>
        <item x="41"/>
        <item x="204"/>
        <item x="138"/>
        <item x="340"/>
        <item x="157"/>
        <item x="46"/>
        <item x="4"/>
        <item x="109"/>
        <item x="336"/>
        <item x="231"/>
        <item x="245"/>
        <item x="195"/>
        <item x="140"/>
        <item x="289"/>
        <item x="230"/>
        <item x="424"/>
        <item x="259"/>
        <item x="418"/>
        <item x="8"/>
        <item x="80"/>
        <item x="120"/>
        <item x="292"/>
        <item x="7"/>
        <item x="85"/>
        <item x="192"/>
        <item x="269"/>
        <item x="388"/>
        <item x="20"/>
        <item x="330"/>
        <item x="359"/>
        <item x="1"/>
        <item x="357"/>
        <item x="160"/>
        <item x="56"/>
        <item x="413"/>
        <item x="290"/>
        <item x="354"/>
        <item x="31"/>
        <item x="30"/>
        <item x="408"/>
        <item x="486"/>
        <item x="313"/>
        <item x="172"/>
        <item x="423"/>
        <item x="81"/>
        <item x="390"/>
        <item x="472"/>
        <item x="419"/>
        <item x="106"/>
        <item x="232"/>
        <item x="179"/>
        <item x="364"/>
        <item x="167"/>
        <item x="349"/>
        <item x="137"/>
        <item x="427"/>
        <item x="40"/>
        <item x="244"/>
        <item x="6"/>
        <item x="25"/>
        <item x="199"/>
        <item x="84"/>
        <item x="169"/>
        <item t="default"/>
      </items>
    </pivotField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lanned Budget ($)" fld="3" baseField="0" baseItem="0"/>
    <dataField name="Total Actual Spend ($)" fld="4" baseField="0" baseItem="0"/>
  </dataFields>
  <formats count="7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topLeftCell="A6" workbookViewId="0">
      <selection activeCell="B9" sqref="B9"/>
    </sheetView>
  </sheetViews>
  <sheetFormatPr defaultRowHeight="15" x14ac:dyDescent="0.25"/>
  <cols>
    <col min="1" max="1" width="61.85546875" customWidth="1"/>
  </cols>
  <sheetData>
    <row r="1" spans="1:1" ht="15.75" x14ac:dyDescent="0.25">
      <c r="A1" s="2" t="s">
        <v>36</v>
      </c>
    </row>
    <row r="3" spans="1:1" ht="30" x14ac:dyDescent="0.25">
      <c r="A3" s="3" t="s">
        <v>37</v>
      </c>
    </row>
    <row r="5" spans="1:1" x14ac:dyDescent="0.25">
      <c r="A5" s="4" t="s">
        <v>38</v>
      </c>
    </row>
    <row r="7" spans="1:1" ht="30" x14ac:dyDescent="0.25">
      <c r="A7" s="3" t="s">
        <v>39</v>
      </c>
    </row>
    <row r="8" spans="1:1" x14ac:dyDescent="0.25">
      <c r="A8" s="3" t="s">
        <v>40</v>
      </c>
    </row>
    <row r="9" spans="1:1" x14ac:dyDescent="0.25">
      <c r="A9" s="3" t="s">
        <v>41</v>
      </c>
    </row>
    <row r="11" spans="1:1" ht="30" x14ac:dyDescent="0.25">
      <c r="A11" s="3" t="s">
        <v>42</v>
      </c>
    </row>
    <row r="13" spans="1:1" ht="30" x14ac:dyDescent="0.25">
      <c r="A13" s="3" t="s">
        <v>43</v>
      </c>
    </row>
    <row r="15" spans="1:1" ht="30" x14ac:dyDescent="0.25">
      <c r="A15" s="3" t="s">
        <v>44</v>
      </c>
    </row>
    <row r="17" spans="1:1" x14ac:dyDescent="0.25">
      <c r="A17" s="3" t="s">
        <v>45</v>
      </c>
    </row>
    <row r="19" spans="1:1" ht="15.75" x14ac:dyDescent="0.25">
      <c r="A1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E1" sqref="E1:E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13</v>
      </c>
      <c r="C2" t="s">
        <v>20</v>
      </c>
      <c r="D2">
        <v>8741</v>
      </c>
      <c r="E2">
        <v>11391</v>
      </c>
    </row>
    <row r="3" spans="1:6" x14ac:dyDescent="0.25">
      <c r="A3" t="s">
        <v>7</v>
      </c>
      <c r="B3" t="s">
        <v>14</v>
      </c>
      <c r="C3" t="s">
        <v>21</v>
      </c>
      <c r="D3">
        <v>9315</v>
      </c>
      <c r="E3">
        <v>2115</v>
      </c>
      <c r="F3" t="s">
        <v>32</v>
      </c>
    </row>
    <row r="4" spans="1:6" x14ac:dyDescent="0.25">
      <c r="A4" t="s">
        <v>8</v>
      </c>
      <c r="B4" t="s">
        <v>14</v>
      </c>
      <c r="C4" t="s">
        <v>22</v>
      </c>
      <c r="D4">
        <v>5713</v>
      </c>
      <c r="E4">
        <v>2833</v>
      </c>
      <c r="F4" t="s">
        <v>33</v>
      </c>
    </row>
    <row r="5" spans="1:6" x14ac:dyDescent="0.25">
      <c r="A5" t="s">
        <v>9</v>
      </c>
      <c r="B5" t="s">
        <v>13</v>
      </c>
      <c r="C5" t="s">
        <v>23</v>
      </c>
      <c r="D5">
        <v>4220</v>
      </c>
      <c r="E5">
        <v>1659</v>
      </c>
      <c r="F5" t="s">
        <v>32</v>
      </c>
    </row>
    <row r="6" spans="1:6" x14ac:dyDescent="0.25">
      <c r="A6" t="s">
        <v>9</v>
      </c>
      <c r="B6" t="s">
        <v>14</v>
      </c>
      <c r="C6" t="s">
        <v>24</v>
      </c>
      <c r="D6">
        <v>8871</v>
      </c>
      <c r="E6">
        <v>9947</v>
      </c>
      <c r="F6" t="s">
        <v>34</v>
      </c>
    </row>
    <row r="7" spans="1:6" x14ac:dyDescent="0.25">
      <c r="A7" t="s">
        <v>6</v>
      </c>
      <c r="B7" t="s">
        <v>13</v>
      </c>
      <c r="C7" t="s">
        <v>25</v>
      </c>
      <c r="D7">
        <v>6152</v>
      </c>
      <c r="E7">
        <v>5026</v>
      </c>
      <c r="F7" t="s">
        <v>34</v>
      </c>
    </row>
    <row r="8" spans="1:6" x14ac:dyDescent="0.25">
      <c r="A8" t="s">
        <v>7</v>
      </c>
      <c r="B8" t="s">
        <v>14</v>
      </c>
      <c r="C8" t="s">
        <v>26</v>
      </c>
      <c r="D8">
        <v>9906</v>
      </c>
      <c r="E8">
        <v>4649</v>
      </c>
      <c r="F8" t="s">
        <v>34</v>
      </c>
    </row>
    <row r="9" spans="1:6" x14ac:dyDescent="0.25">
      <c r="A9" t="s">
        <v>8</v>
      </c>
      <c r="B9" t="s">
        <v>13</v>
      </c>
      <c r="C9" t="s">
        <v>20</v>
      </c>
      <c r="D9">
        <v>9187</v>
      </c>
      <c r="E9">
        <v>4834</v>
      </c>
    </row>
    <row r="10" spans="1:6" x14ac:dyDescent="0.25">
      <c r="A10" t="s">
        <v>10</v>
      </c>
      <c r="B10" t="s">
        <v>15</v>
      </c>
      <c r="C10" t="s">
        <v>27</v>
      </c>
      <c r="D10">
        <v>9113</v>
      </c>
      <c r="E10">
        <v>3132</v>
      </c>
      <c r="F10" t="s">
        <v>34</v>
      </c>
    </row>
    <row r="11" spans="1:6" x14ac:dyDescent="0.25">
      <c r="A11" t="s">
        <v>7</v>
      </c>
      <c r="B11" t="s">
        <v>16</v>
      </c>
      <c r="C11" t="s">
        <v>28</v>
      </c>
      <c r="D11">
        <v>2972</v>
      </c>
      <c r="E11">
        <v>8038</v>
      </c>
      <c r="F11" t="s">
        <v>32</v>
      </c>
    </row>
    <row r="12" spans="1:6" x14ac:dyDescent="0.25">
      <c r="A12" t="s">
        <v>8</v>
      </c>
      <c r="B12" t="s">
        <v>13</v>
      </c>
      <c r="C12" t="s">
        <v>26</v>
      </c>
      <c r="D12">
        <v>4703</v>
      </c>
      <c r="E12">
        <v>2005</v>
      </c>
      <c r="F12" t="s">
        <v>32</v>
      </c>
    </row>
    <row r="13" spans="1:6" x14ac:dyDescent="0.25">
      <c r="A13" t="s">
        <v>11</v>
      </c>
      <c r="B13" t="s">
        <v>16</v>
      </c>
      <c r="C13" t="s">
        <v>23</v>
      </c>
      <c r="D13">
        <v>2819</v>
      </c>
      <c r="E13">
        <v>2626</v>
      </c>
      <c r="F13" t="s">
        <v>33</v>
      </c>
    </row>
    <row r="14" spans="1:6" x14ac:dyDescent="0.25">
      <c r="A14" t="s">
        <v>11</v>
      </c>
      <c r="B14" t="s">
        <v>17</v>
      </c>
      <c r="C14" t="s">
        <v>22</v>
      </c>
      <c r="D14">
        <v>2687</v>
      </c>
      <c r="E14">
        <v>2320</v>
      </c>
    </row>
    <row r="15" spans="1:6" x14ac:dyDescent="0.25">
      <c r="A15" t="s">
        <v>10</v>
      </c>
      <c r="B15" t="s">
        <v>16</v>
      </c>
      <c r="C15" t="s">
        <v>24</v>
      </c>
      <c r="D15">
        <v>3954</v>
      </c>
      <c r="E15">
        <v>11660</v>
      </c>
    </row>
    <row r="16" spans="1:6" x14ac:dyDescent="0.25">
      <c r="A16" t="s">
        <v>8</v>
      </c>
      <c r="B16" t="s">
        <v>16</v>
      </c>
      <c r="C16" t="s">
        <v>29</v>
      </c>
      <c r="D16">
        <v>1888</v>
      </c>
      <c r="E16">
        <v>2168</v>
      </c>
      <c r="F16" t="s">
        <v>35</v>
      </c>
    </row>
    <row r="17" spans="1:6" x14ac:dyDescent="0.25">
      <c r="A17" t="s">
        <v>6</v>
      </c>
      <c r="B17" t="s">
        <v>15</v>
      </c>
      <c r="C17" t="s">
        <v>25</v>
      </c>
      <c r="D17">
        <v>3935</v>
      </c>
      <c r="E17">
        <v>9025</v>
      </c>
      <c r="F17" t="s">
        <v>34</v>
      </c>
    </row>
    <row r="18" spans="1:6" x14ac:dyDescent="0.25">
      <c r="A18" t="s">
        <v>10</v>
      </c>
      <c r="B18" t="s">
        <v>17</v>
      </c>
      <c r="C18" t="s">
        <v>29</v>
      </c>
      <c r="D18">
        <v>6457</v>
      </c>
      <c r="E18">
        <v>11471</v>
      </c>
      <c r="F18" t="s">
        <v>35</v>
      </c>
    </row>
    <row r="19" spans="1:6" x14ac:dyDescent="0.25">
      <c r="A19" t="s">
        <v>6</v>
      </c>
      <c r="B19" t="s">
        <v>13</v>
      </c>
      <c r="C19" t="s">
        <v>25</v>
      </c>
      <c r="D19">
        <v>3214</v>
      </c>
      <c r="E19">
        <v>7585</v>
      </c>
    </row>
    <row r="20" spans="1:6" x14ac:dyDescent="0.25">
      <c r="A20" t="s">
        <v>10</v>
      </c>
      <c r="B20" t="s">
        <v>17</v>
      </c>
      <c r="C20" t="s">
        <v>29</v>
      </c>
      <c r="D20">
        <v>6642</v>
      </c>
      <c r="E20">
        <v>1610</v>
      </c>
      <c r="F20" t="s">
        <v>32</v>
      </c>
    </row>
    <row r="21" spans="1:6" x14ac:dyDescent="0.25">
      <c r="A21" t="s">
        <v>9</v>
      </c>
      <c r="B21" t="s">
        <v>13</v>
      </c>
      <c r="C21" t="s">
        <v>27</v>
      </c>
      <c r="D21">
        <v>4614</v>
      </c>
      <c r="E21">
        <v>5264</v>
      </c>
      <c r="F21" t="s">
        <v>32</v>
      </c>
    </row>
    <row r="22" spans="1:6" x14ac:dyDescent="0.25">
      <c r="A22" t="s">
        <v>11</v>
      </c>
      <c r="B22" t="s">
        <v>14</v>
      </c>
      <c r="C22" t="s">
        <v>27</v>
      </c>
      <c r="D22">
        <v>9247</v>
      </c>
      <c r="E22">
        <v>6873</v>
      </c>
      <c r="F22" t="s">
        <v>33</v>
      </c>
    </row>
    <row r="23" spans="1:6" x14ac:dyDescent="0.25">
      <c r="A23" t="s">
        <v>8</v>
      </c>
      <c r="B23" t="s">
        <v>18</v>
      </c>
      <c r="C23" t="s">
        <v>30</v>
      </c>
      <c r="D23">
        <v>6442</v>
      </c>
      <c r="E23">
        <v>5190</v>
      </c>
    </row>
    <row r="24" spans="1:6" x14ac:dyDescent="0.25">
      <c r="A24" t="s">
        <v>9</v>
      </c>
      <c r="B24" t="s">
        <v>18</v>
      </c>
      <c r="C24" t="s">
        <v>26</v>
      </c>
      <c r="D24">
        <v>6248</v>
      </c>
      <c r="E24">
        <v>4567</v>
      </c>
      <c r="F24" t="s">
        <v>32</v>
      </c>
    </row>
    <row r="25" spans="1:6" x14ac:dyDescent="0.25">
      <c r="A25" t="s">
        <v>6</v>
      </c>
      <c r="B25" t="s">
        <v>14</v>
      </c>
      <c r="C25" t="s">
        <v>29</v>
      </c>
      <c r="D25">
        <v>6425</v>
      </c>
      <c r="E25">
        <v>4047</v>
      </c>
      <c r="F25" t="s">
        <v>33</v>
      </c>
    </row>
    <row r="26" spans="1:6" x14ac:dyDescent="0.25">
      <c r="A26" t="s">
        <v>6</v>
      </c>
      <c r="B26" t="s">
        <v>13</v>
      </c>
      <c r="C26" t="s">
        <v>21</v>
      </c>
      <c r="D26">
        <v>8014</v>
      </c>
      <c r="E26">
        <v>10039</v>
      </c>
      <c r="F26" t="s">
        <v>34</v>
      </c>
    </row>
    <row r="27" spans="1:6" x14ac:dyDescent="0.25">
      <c r="A27" t="s">
        <v>12</v>
      </c>
      <c r="B27" t="s">
        <v>14</v>
      </c>
      <c r="C27" t="s">
        <v>29</v>
      </c>
      <c r="D27">
        <v>9917</v>
      </c>
      <c r="E27">
        <v>7431</v>
      </c>
      <c r="F27" t="s">
        <v>35</v>
      </c>
    </row>
    <row r="28" spans="1:6" x14ac:dyDescent="0.25">
      <c r="A28" t="s">
        <v>10</v>
      </c>
      <c r="B28" t="s">
        <v>16</v>
      </c>
      <c r="C28" t="s">
        <v>27</v>
      </c>
      <c r="D28">
        <v>4233</v>
      </c>
      <c r="E28">
        <v>11353</v>
      </c>
      <c r="F28" t="s">
        <v>34</v>
      </c>
    </row>
    <row r="29" spans="1:6" x14ac:dyDescent="0.25">
      <c r="A29" t="s">
        <v>10</v>
      </c>
      <c r="B29" t="s">
        <v>16</v>
      </c>
      <c r="C29" t="s">
        <v>23</v>
      </c>
      <c r="D29">
        <v>5695</v>
      </c>
      <c r="E29">
        <v>10306</v>
      </c>
      <c r="F29" t="s">
        <v>35</v>
      </c>
    </row>
    <row r="30" spans="1:6" x14ac:dyDescent="0.25">
      <c r="A30" t="s">
        <v>12</v>
      </c>
      <c r="B30" t="s">
        <v>17</v>
      </c>
      <c r="C30" t="s">
        <v>22</v>
      </c>
      <c r="D30">
        <v>3664</v>
      </c>
      <c r="E30">
        <v>8157</v>
      </c>
      <c r="F30" t="s">
        <v>32</v>
      </c>
    </row>
    <row r="31" spans="1:6" x14ac:dyDescent="0.25">
      <c r="A31" t="s">
        <v>10</v>
      </c>
      <c r="B31" t="s">
        <v>14</v>
      </c>
      <c r="C31" t="s">
        <v>31</v>
      </c>
      <c r="D31">
        <v>1258</v>
      </c>
      <c r="E31">
        <v>11395</v>
      </c>
      <c r="F31" t="s">
        <v>33</v>
      </c>
    </row>
    <row r="32" spans="1:6" x14ac:dyDescent="0.25">
      <c r="A32" t="s">
        <v>9</v>
      </c>
      <c r="B32" t="s">
        <v>13</v>
      </c>
      <c r="C32" t="s">
        <v>22</v>
      </c>
      <c r="D32">
        <v>9474</v>
      </c>
      <c r="E32">
        <v>6425</v>
      </c>
      <c r="F32" t="s">
        <v>34</v>
      </c>
    </row>
    <row r="33" spans="1:6" x14ac:dyDescent="0.25">
      <c r="A33" t="s">
        <v>12</v>
      </c>
      <c r="B33" t="s">
        <v>13</v>
      </c>
      <c r="C33" t="s">
        <v>31</v>
      </c>
      <c r="D33">
        <v>9453</v>
      </c>
      <c r="E33">
        <v>3473</v>
      </c>
      <c r="F33" t="s">
        <v>34</v>
      </c>
    </row>
    <row r="34" spans="1:6" x14ac:dyDescent="0.25">
      <c r="A34" t="s">
        <v>10</v>
      </c>
      <c r="B34" t="s">
        <v>14</v>
      </c>
      <c r="C34" t="s">
        <v>29</v>
      </c>
      <c r="D34">
        <v>5022</v>
      </c>
      <c r="E34">
        <v>7324</v>
      </c>
      <c r="F34" t="s">
        <v>32</v>
      </c>
    </row>
    <row r="35" spans="1:6" x14ac:dyDescent="0.25">
      <c r="A35" t="s">
        <v>11</v>
      </c>
      <c r="B35" t="s">
        <v>19</v>
      </c>
      <c r="C35" t="s">
        <v>24</v>
      </c>
      <c r="D35">
        <v>3187</v>
      </c>
      <c r="E35">
        <v>2004</v>
      </c>
      <c r="F35" t="s">
        <v>33</v>
      </c>
    </row>
    <row r="36" spans="1:6" x14ac:dyDescent="0.25">
      <c r="A36" t="s">
        <v>10</v>
      </c>
      <c r="B36" t="s">
        <v>18</v>
      </c>
      <c r="C36" t="s">
        <v>22</v>
      </c>
      <c r="D36">
        <v>5157</v>
      </c>
      <c r="E36">
        <v>9013</v>
      </c>
      <c r="F36" t="s">
        <v>35</v>
      </c>
    </row>
    <row r="37" spans="1:6" x14ac:dyDescent="0.25">
      <c r="A37" t="s">
        <v>7</v>
      </c>
      <c r="B37" t="s">
        <v>16</v>
      </c>
      <c r="C37" t="s">
        <v>21</v>
      </c>
      <c r="D37">
        <v>6167</v>
      </c>
      <c r="E37">
        <v>10425</v>
      </c>
      <c r="F37" t="s">
        <v>33</v>
      </c>
    </row>
    <row r="38" spans="1:6" x14ac:dyDescent="0.25">
      <c r="A38" t="s">
        <v>8</v>
      </c>
      <c r="B38" t="s">
        <v>17</v>
      </c>
      <c r="C38" t="s">
        <v>20</v>
      </c>
      <c r="D38">
        <v>3598</v>
      </c>
      <c r="E38">
        <v>6920</v>
      </c>
    </row>
    <row r="39" spans="1:6" x14ac:dyDescent="0.25">
      <c r="A39" t="s">
        <v>8</v>
      </c>
      <c r="B39" t="s">
        <v>19</v>
      </c>
      <c r="C39" t="s">
        <v>21</v>
      </c>
      <c r="D39">
        <v>8265</v>
      </c>
      <c r="E39">
        <v>11479</v>
      </c>
      <c r="F39" t="s">
        <v>34</v>
      </c>
    </row>
    <row r="40" spans="1:6" x14ac:dyDescent="0.25">
      <c r="A40" t="s">
        <v>6</v>
      </c>
      <c r="B40" t="s">
        <v>15</v>
      </c>
      <c r="C40" t="s">
        <v>24</v>
      </c>
      <c r="D40">
        <v>2556</v>
      </c>
      <c r="E40">
        <v>5661</v>
      </c>
      <c r="F40" t="s">
        <v>32</v>
      </c>
    </row>
    <row r="41" spans="1:6" x14ac:dyDescent="0.25">
      <c r="A41" t="s">
        <v>8</v>
      </c>
      <c r="B41" t="s">
        <v>18</v>
      </c>
      <c r="C41" t="s">
        <v>25</v>
      </c>
      <c r="D41">
        <v>6507</v>
      </c>
      <c r="E41">
        <v>6605</v>
      </c>
      <c r="F41" t="s">
        <v>32</v>
      </c>
    </row>
    <row r="42" spans="1:6" x14ac:dyDescent="0.25">
      <c r="A42" t="s">
        <v>7</v>
      </c>
      <c r="B42" t="s">
        <v>15</v>
      </c>
      <c r="C42" t="s">
        <v>22</v>
      </c>
      <c r="D42">
        <v>9888</v>
      </c>
      <c r="E42">
        <v>1961</v>
      </c>
      <c r="F42" t="s">
        <v>32</v>
      </c>
    </row>
    <row r="43" spans="1:6" x14ac:dyDescent="0.25">
      <c r="A43" t="s">
        <v>9</v>
      </c>
      <c r="B43" t="s">
        <v>13</v>
      </c>
      <c r="C43" t="s">
        <v>31</v>
      </c>
      <c r="D43">
        <v>8748</v>
      </c>
      <c r="E43">
        <v>2688</v>
      </c>
    </row>
    <row r="44" spans="1:6" x14ac:dyDescent="0.25">
      <c r="A44" t="s">
        <v>9</v>
      </c>
      <c r="B44" t="s">
        <v>16</v>
      </c>
      <c r="C44" t="s">
        <v>25</v>
      </c>
      <c r="D44">
        <v>1573</v>
      </c>
      <c r="E44">
        <v>11206</v>
      </c>
      <c r="F44" t="s">
        <v>33</v>
      </c>
    </row>
    <row r="45" spans="1:6" x14ac:dyDescent="0.25">
      <c r="A45" t="s">
        <v>10</v>
      </c>
      <c r="B45" t="s">
        <v>18</v>
      </c>
      <c r="C45" t="s">
        <v>29</v>
      </c>
      <c r="D45">
        <v>7863</v>
      </c>
      <c r="E45">
        <v>4970</v>
      </c>
      <c r="F45" t="s">
        <v>34</v>
      </c>
    </row>
    <row r="46" spans="1:6" x14ac:dyDescent="0.25">
      <c r="A46" t="s">
        <v>9</v>
      </c>
      <c r="B46" t="s">
        <v>16</v>
      </c>
      <c r="C46" t="s">
        <v>24</v>
      </c>
      <c r="D46">
        <v>4248</v>
      </c>
      <c r="E46">
        <v>5503</v>
      </c>
      <c r="F46" t="s">
        <v>34</v>
      </c>
    </row>
    <row r="47" spans="1:6" x14ac:dyDescent="0.25">
      <c r="A47" t="s">
        <v>10</v>
      </c>
      <c r="B47" t="s">
        <v>19</v>
      </c>
      <c r="C47" t="s">
        <v>25</v>
      </c>
      <c r="D47">
        <v>6213</v>
      </c>
      <c r="E47">
        <v>10730</v>
      </c>
    </row>
    <row r="48" spans="1:6" x14ac:dyDescent="0.25">
      <c r="A48" t="s">
        <v>7</v>
      </c>
      <c r="B48" t="s">
        <v>19</v>
      </c>
      <c r="C48" t="s">
        <v>25</v>
      </c>
      <c r="D48">
        <v>8844</v>
      </c>
      <c r="E48">
        <v>5430</v>
      </c>
    </row>
    <row r="49" spans="1:6" x14ac:dyDescent="0.25">
      <c r="A49" t="s">
        <v>10</v>
      </c>
      <c r="B49" t="s">
        <v>13</v>
      </c>
      <c r="C49" t="s">
        <v>31</v>
      </c>
      <c r="D49">
        <v>8654</v>
      </c>
      <c r="E49">
        <v>10484</v>
      </c>
      <c r="F49" t="s">
        <v>32</v>
      </c>
    </row>
    <row r="50" spans="1:6" x14ac:dyDescent="0.25">
      <c r="A50" t="s">
        <v>10</v>
      </c>
      <c r="B50" t="s">
        <v>19</v>
      </c>
      <c r="C50" t="s">
        <v>30</v>
      </c>
      <c r="D50">
        <v>3669</v>
      </c>
      <c r="E50">
        <v>5897</v>
      </c>
      <c r="F50" t="s">
        <v>33</v>
      </c>
    </row>
    <row r="51" spans="1:6" x14ac:dyDescent="0.25">
      <c r="A51" t="s">
        <v>8</v>
      </c>
      <c r="B51" t="s">
        <v>15</v>
      </c>
      <c r="C51" t="s">
        <v>29</v>
      </c>
      <c r="D51">
        <v>3812</v>
      </c>
      <c r="E51">
        <v>9459</v>
      </c>
    </row>
    <row r="52" spans="1:6" x14ac:dyDescent="0.25">
      <c r="A52" t="s">
        <v>12</v>
      </c>
      <c r="B52" t="s">
        <v>18</v>
      </c>
      <c r="C52" t="s">
        <v>29</v>
      </c>
      <c r="D52">
        <v>3672</v>
      </c>
      <c r="E52">
        <v>10813</v>
      </c>
      <c r="F52" t="s">
        <v>33</v>
      </c>
    </row>
    <row r="53" spans="1:6" x14ac:dyDescent="0.25">
      <c r="A53" t="s">
        <v>6</v>
      </c>
      <c r="B53" t="s">
        <v>16</v>
      </c>
      <c r="C53" t="s">
        <v>28</v>
      </c>
      <c r="D53">
        <v>4800</v>
      </c>
      <c r="E53">
        <v>4433</v>
      </c>
      <c r="F53" t="s">
        <v>34</v>
      </c>
    </row>
    <row r="54" spans="1:6" x14ac:dyDescent="0.25">
      <c r="A54" t="s">
        <v>6</v>
      </c>
      <c r="B54" t="s">
        <v>16</v>
      </c>
      <c r="C54" t="s">
        <v>20</v>
      </c>
      <c r="D54">
        <v>6962</v>
      </c>
      <c r="E54">
        <v>3401</v>
      </c>
      <c r="F54" t="s">
        <v>34</v>
      </c>
    </row>
    <row r="55" spans="1:6" x14ac:dyDescent="0.25">
      <c r="A55" t="s">
        <v>6</v>
      </c>
      <c r="B55" t="s">
        <v>14</v>
      </c>
      <c r="C55" t="s">
        <v>20</v>
      </c>
      <c r="D55">
        <v>4645</v>
      </c>
      <c r="E55">
        <v>3612</v>
      </c>
      <c r="F55" t="s">
        <v>34</v>
      </c>
    </row>
    <row r="56" spans="1:6" x14ac:dyDescent="0.25">
      <c r="A56" t="s">
        <v>11</v>
      </c>
      <c r="B56" t="s">
        <v>15</v>
      </c>
      <c r="C56" t="s">
        <v>23</v>
      </c>
      <c r="D56">
        <v>6405</v>
      </c>
      <c r="E56">
        <v>10615</v>
      </c>
      <c r="F56" t="s">
        <v>35</v>
      </c>
    </row>
    <row r="57" spans="1:6" x14ac:dyDescent="0.25">
      <c r="A57" t="s">
        <v>7</v>
      </c>
      <c r="B57" t="s">
        <v>17</v>
      </c>
      <c r="C57" t="s">
        <v>29</v>
      </c>
      <c r="D57">
        <v>2393</v>
      </c>
      <c r="E57">
        <v>11340</v>
      </c>
      <c r="F57" t="s">
        <v>32</v>
      </c>
    </row>
    <row r="58" spans="1:6" x14ac:dyDescent="0.25">
      <c r="A58" t="s">
        <v>9</v>
      </c>
      <c r="B58" t="s">
        <v>18</v>
      </c>
      <c r="C58" t="s">
        <v>20</v>
      </c>
      <c r="D58">
        <v>9374</v>
      </c>
      <c r="E58">
        <v>5960</v>
      </c>
    </row>
    <row r="59" spans="1:6" x14ac:dyDescent="0.25">
      <c r="A59" t="s">
        <v>10</v>
      </c>
      <c r="B59" t="s">
        <v>14</v>
      </c>
      <c r="C59" t="s">
        <v>24</v>
      </c>
      <c r="D59">
        <v>5880</v>
      </c>
      <c r="E59">
        <v>1718</v>
      </c>
      <c r="F59" t="s">
        <v>32</v>
      </c>
    </row>
    <row r="60" spans="1:6" x14ac:dyDescent="0.25">
      <c r="A60" t="s">
        <v>12</v>
      </c>
      <c r="B60" t="s">
        <v>14</v>
      </c>
      <c r="C60" t="s">
        <v>21</v>
      </c>
      <c r="D60">
        <v>2744</v>
      </c>
      <c r="E60">
        <v>8892</v>
      </c>
    </row>
    <row r="61" spans="1:6" x14ac:dyDescent="0.25">
      <c r="A61" t="s">
        <v>6</v>
      </c>
      <c r="B61" t="s">
        <v>13</v>
      </c>
      <c r="C61" t="s">
        <v>29</v>
      </c>
      <c r="D61">
        <v>2488</v>
      </c>
      <c r="E61">
        <v>6069</v>
      </c>
      <c r="F61" t="s">
        <v>35</v>
      </c>
    </row>
    <row r="62" spans="1:6" x14ac:dyDescent="0.25">
      <c r="A62" t="s">
        <v>10</v>
      </c>
      <c r="B62" t="s">
        <v>18</v>
      </c>
      <c r="C62" t="s">
        <v>26</v>
      </c>
      <c r="D62">
        <v>2612</v>
      </c>
      <c r="E62">
        <v>10393</v>
      </c>
      <c r="F62" t="s">
        <v>35</v>
      </c>
    </row>
    <row r="63" spans="1:6" x14ac:dyDescent="0.25">
      <c r="A63" t="s">
        <v>12</v>
      </c>
      <c r="B63" t="s">
        <v>14</v>
      </c>
      <c r="C63" t="s">
        <v>26</v>
      </c>
      <c r="D63">
        <v>3303</v>
      </c>
      <c r="E63">
        <v>10146</v>
      </c>
      <c r="F63" t="s">
        <v>35</v>
      </c>
    </row>
    <row r="64" spans="1:6" x14ac:dyDescent="0.25">
      <c r="A64" t="s">
        <v>6</v>
      </c>
      <c r="B64" t="s">
        <v>17</v>
      </c>
      <c r="C64" t="s">
        <v>20</v>
      </c>
      <c r="D64">
        <v>2330</v>
      </c>
      <c r="E64">
        <v>10226</v>
      </c>
      <c r="F64" t="s">
        <v>33</v>
      </c>
    </row>
    <row r="65" spans="1:6" x14ac:dyDescent="0.25">
      <c r="A65" t="s">
        <v>9</v>
      </c>
      <c r="B65" t="s">
        <v>13</v>
      </c>
      <c r="C65" t="s">
        <v>30</v>
      </c>
      <c r="D65">
        <v>1538</v>
      </c>
      <c r="E65">
        <v>10463</v>
      </c>
      <c r="F65" t="s">
        <v>35</v>
      </c>
    </row>
    <row r="66" spans="1:6" x14ac:dyDescent="0.25">
      <c r="A66" t="s">
        <v>7</v>
      </c>
      <c r="B66" t="s">
        <v>18</v>
      </c>
      <c r="C66" t="s">
        <v>31</v>
      </c>
      <c r="D66">
        <v>7388</v>
      </c>
      <c r="E66">
        <v>3895</v>
      </c>
    </row>
    <row r="67" spans="1:6" x14ac:dyDescent="0.25">
      <c r="A67" t="s">
        <v>9</v>
      </c>
      <c r="B67" t="s">
        <v>13</v>
      </c>
      <c r="C67" t="s">
        <v>30</v>
      </c>
      <c r="D67">
        <v>4749</v>
      </c>
      <c r="E67">
        <v>5160</v>
      </c>
      <c r="F67" t="s">
        <v>35</v>
      </c>
    </row>
    <row r="68" spans="1:6" x14ac:dyDescent="0.25">
      <c r="A68" t="s">
        <v>9</v>
      </c>
      <c r="B68" t="s">
        <v>15</v>
      </c>
      <c r="C68" t="s">
        <v>28</v>
      </c>
      <c r="D68">
        <v>6593</v>
      </c>
      <c r="E68">
        <v>3100</v>
      </c>
      <c r="F68" t="s">
        <v>33</v>
      </c>
    </row>
    <row r="69" spans="1:6" x14ac:dyDescent="0.25">
      <c r="A69" t="s">
        <v>9</v>
      </c>
      <c r="B69" t="s">
        <v>16</v>
      </c>
      <c r="C69" t="s">
        <v>31</v>
      </c>
      <c r="D69">
        <v>7024</v>
      </c>
      <c r="E69">
        <v>6381</v>
      </c>
      <c r="F69" t="s">
        <v>33</v>
      </c>
    </row>
    <row r="70" spans="1:6" x14ac:dyDescent="0.25">
      <c r="A70" t="s">
        <v>7</v>
      </c>
      <c r="B70" t="s">
        <v>18</v>
      </c>
      <c r="C70" t="s">
        <v>29</v>
      </c>
      <c r="D70">
        <v>3241</v>
      </c>
      <c r="E70">
        <v>8302</v>
      </c>
      <c r="F70" t="s">
        <v>35</v>
      </c>
    </row>
    <row r="71" spans="1:6" x14ac:dyDescent="0.25">
      <c r="A71" t="s">
        <v>9</v>
      </c>
      <c r="B71" t="s">
        <v>18</v>
      </c>
      <c r="C71" t="s">
        <v>23</v>
      </c>
      <c r="D71">
        <v>3719</v>
      </c>
      <c r="E71">
        <v>1349</v>
      </c>
      <c r="F71" t="s">
        <v>32</v>
      </c>
    </row>
    <row r="72" spans="1:6" x14ac:dyDescent="0.25">
      <c r="A72" t="s">
        <v>9</v>
      </c>
      <c r="B72" t="s">
        <v>19</v>
      </c>
      <c r="C72" t="s">
        <v>22</v>
      </c>
      <c r="D72">
        <v>7702</v>
      </c>
      <c r="E72">
        <v>3259</v>
      </c>
      <c r="F72" t="s">
        <v>32</v>
      </c>
    </row>
    <row r="73" spans="1:6" x14ac:dyDescent="0.25">
      <c r="A73" t="s">
        <v>6</v>
      </c>
      <c r="B73" t="s">
        <v>13</v>
      </c>
      <c r="C73" t="s">
        <v>27</v>
      </c>
      <c r="D73">
        <v>4486</v>
      </c>
      <c r="E73">
        <v>8723</v>
      </c>
      <c r="F73" t="s">
        <v>35</v>
      </c>
    </row>
    <row r="74" spans="1:6" x14ac:dyDescent="0.25">
      <c r="A74" t="s">
        <v>9</v>
      </c>
      <c r="B74" t="s">
        <v>18</v>
      </c>
      <c r="C74" t="s">
        <v>22</v>
      </c>
      <c r="D74">
        <v>2756</v>
      </c>
      <c r="E74">
        <v>4840</v>
      </c>
    </row>
    <row r="75" spans="1:6" x14ac:dyDescent="0.25">
      <c r="A75" t="s">
        <v>7</v>
      </c>
      <c r="B75" t="s">
        <v>16</v>
      </c>
      <c r="C75" t="s">
        <v>29</v>
      </c>
      <c r="D75">
        <v>3915</v>
      </c>
      <c r="E75">
        <v>11085</v>
      </c>
      <c r="F75" t="s">
        <v>34</v>
      </c>
    </row>
    <row r="76" spans="1:6" x14ac:dyDescent="0.25">
      <c r="A76" t="s">
        <v>9</v>
      </c>
      <c r="B76" t="s">
        <v>16</v>
      </c>
      <c r="C76" t="s">
        <v>28</v>
      </c>
      <c r="D76">
        <v>7072</v>
      </c>
      <c r="E76">
        <v>4524</v>
      </c>
      <c r="F76" t="s">
        <v>35</v>
      </c>
    </row>
    <row r="77" spans="1:6" x14ac:dyDescent="0.25">
      <c r="A77" t="s">
        <v>8</v>
      </c>
      <c r="B77" t="s">
        <v>16</v>
      </c>
      <c r="C77" t="s">
        <v>27</v>
      </c>
      <c r="D77">
        <v>2200</v>
      </c>
      <c r="E77">
        <v>8995</v>
      </c>
      <c r="F77" t="s">
        <v>32</v>
      </c>
    </row>
    <row r="78" spans="1:6" x14ac:dyDescent="0.25">
      <c r="A78" t="s">
        <v>7</v>
      </c>
      <c r="B78" t="s">
        <v>13</v>
      </c>
      <c r="C78" t="s">
        <v>24</v>
      </c>
      <c r="D78">
        <v>5273</v>
      </c>
      <c r="E78">
        <v>3315</v>
      </c>
      <c r="F78" t="s">
        <v>34</v>
      </c>
    </row>
    <row r="79" spans="1:6" x14ac:dyDescent="0.25">
      <c r="A79" t="s">
        <v>12</v>
      </c>
      <c r="B79" t="s">
        <v>13</v>
      </c>
      <c r="C79" t="s">
        <v>31</v>
      </c>
      <c r="D79">
        <v>1218</v>
      </c>
      <c r="E79">
        <v>8660</v>
      </c>
      <c r="F79" t="s">
        <v>32</v>
      </c>
    </row>
    <row r="80" spans="1:6" x14ac:dyDescent="0.25">
      <c r="A80" t="s">
        <v>7</v>
      </c>
      <c r="B80" t="s">
        <v>14</v>
      </c>
      <c r="C80" t="s">
        <v>25</v>
      </c>
      <c r="D80">
        <v>2161</v>
      </c>
      <c r="E80">
        <v>1888</v>
      </c>
      <c r="F80" t="s">
        <v>32</v>
      </c>
    </row>
    <row r="81" spans="1:6" x14ac:dyDescent="0.25">
      <c r="A81" t="s">
        <v>12</v>
      </c>
      <c r="B81" t="s">
        <v>15</v>
      </c>
      <c r="C81" t="s">
        <v>30</v>
      </c>
      <c r="D81">
        <v>8194</v>
      </c>
      <c r="E81">
        <v>4751</v>
      </c>
      <c r="F81" t="s">
        <v>35</v>
      </c>
    </row>
    <row r="82" spans="1:6" x14ac:dyDescent="0.25">
      <c r="A82" t="s">
        <v>7</v>
      </c>
      <c r="B82" t="s">
        <v>19</v>
      </c>
      <c r="C82" t="s">
        <v>26</v>
      </c>
      <c r="D82">
        <v>9116</v>
      </c>
      <c r="E82">
        <v>5223</v>
      </c>
    </row>
    <row r="83" spans="1:6" x14ac:dyDescent="0.25">
      <c r="A83" t="s">
        <v>11</v>
      </c>
      <c r="B83" t="s">
        <v>13</v>
      </c>
      <c r="C83" t="s">
        <v>31</v>
      </c>
      <c r="D83">
        <v>9595</v>
      </c>
      <c r="E83">
        <v>6007</v>
      </c>
      <c r="F83" t="s">
        <v>32</v>
      </c>
    </row>
    <row r="84" spans="1:6" x14ac:dyDescent="0.25">
      <c r="A84" t="s">
        <v>9</v>
      </c>
      <c r="B84" t="s">
        <v>16</v>
      </c>
      <c r="C84" t="s">
        <v>26</v>
      </c>
      <c r="D84">
        <v>1068</v>
      </c>
      <c r="E84">
        <v>1998</v>
      </c>
    </row>
    <row r="85" spans="1:6" x14ac:dyDescent="0.25">
      <c r="A85" t="s">
        <v>11</v>
      </c>
      <c r="B85" t="s">
        <v>19</v>
      </c>
      <c r="C85" t="s">
        <v>24</v>
      </c>
      <c r="D85">
        <v>5069</v>
      </c>
      <c r="E85">
        <v>7674</v>
      </c>
      <c r="F85" t="s">
        <v>34</v>
      </c>
    </row>
    <row r="86" spans="1:6" x14ac:dyDescent="0.25">
      <c r="A86" t="s">
        <v>11</v>
      </c>
      <c r="B86" t="s">
        <v>14</v>
      </c>
      <c r="C86" t="s">
        <v>22</v>
      </c>
      <c r="D86">
        <v>9975</v>
      </c>
      <c r="E86">
        <v>9853</v>
      </c>
      <c r="F86" t="s">
        <v>33</v>
      </c>
    </row>
    <row r="87" spans="1:6" x14ac:dyDescent="0.25">
      <c r="A87" t="s">
        <v>12</v>
      </c>
      <c r="B87" t="s">
        <v>15</v>
      </c>
      <c r="C87" t="s">
        <v>26</v>
      </c>
      <c r="D87">
        <v>9193</v>
      </c>
      <c r="E87">
        <v>6411</v>
      </c>
      <c r="F87" t="s">
        <v>34</v>
      </c>
    </row>
    <row r="88" spans="1:6" x14ac:dyDescent="0.25">
      <c r="A88" t="s">
        <v>9</v>
      </c>
      <c r="B88" t="s">
        <v>16</v>
      </c>
      <c r="C88" t="s">
        <v>20</v>
      </c>
      <c r="D88">
        <v>7586</v>
      </c>
      <c r="E88">
        <v>6534</v>
      </c>
      <c r="F88" t="s">
        <v>32</v>
      </c>
    </row>
    <row r="89" spans="1:6" x14ac:dyDescent="0.25">
      <c r="A89" t="s">
        <v>9</v>
      </c>
      <c r="B89" t="s">
        <v>17</v>
      </c>
      <c r="C89" t="s">
        <v>26</v>
      </c>
      <c r="D89">
        <v>3579</v>
      </c>
      <c r="E89">
        <v>4310</v>
      </c>
      <c r="F89" t="s">
        <v>32</v>
      </c>
    </row>
    <row r="90" spans="1:6" x14ac:dyDescent="0.25">
      <c r="A90" t="s">
        <v>11</v>
      </c>
      <c r="B90" t="s">
        <v>15</v>
      </c>
      <c r="C90" t="s">
        <v>28</v>
      </c>
      <c r="D90">
        <v>1352</v>
      </c>
      <c r="E90">
        <v>10883</v>
      </c>
    </row>
    <row r="91" spans="1:6" x14ac:dyDescent="0.25">
      <c r="A91" t="s">
        <v>10</v>
      </c>
      <c r="B91" t="s">
        <v>17</v>
      </c>
      <c r="C91" t="s">
        <v>25</v>
      </c>
      <c r="D91">
        <v>1963</v>
      </c>
      <c r="E91">
        <v>1130</v>
      </c>
      <c r="F91" t="s">
        <v>35</v>
      </c>
    </row>
    <row r="92" spans="1:6" x14ac:dyDescent="0.25">
      <c r="A92" t="s">
        <v>6</v>
      </c>
      <c r="B92" t="s">
        <v>16</v>
      </c>
      <c r="C92" t="s">
        <v>26</v>
      </c>
      <c r="D92">
        <v>4160</v>
      </c>
      <c r="E92">
        <v>8610</v>
      </c>
      <c r="F92" t="s">
        <v>34</v>
      </c>
    </row>
    <row r="93" spans="1:6" x14ac:dyDescent="0.25">
      <c r="A93" t="s">
        <v>12</v>
      </c>
      <c r="B93" t="s">
        <v>17</v>
      </c>
      <c r="C93" t="s">
        <v>23</v>
      </c>
      <c r="D93">
        <v>8651</v>
      </c>
      <c r="E93">
        <v>9566</v>
      </c>
    </row>
    <row r="94" spans="1:6" x14ac:dyDescent="0.25">
      <c r="A94" t="s">
        <v>9</v>
      </c>
      <c r="B94" t="s">
        <v>17</v>
      </c>
      <c r="C94" t="s">
        <v>23</v>
      </c>
      <c r="D94">
        <v>8153</v>
      </c>
      <c r="E94">
        <v>4754</v>
      </c>
      <c r="F94" t="s">
        <v>34</v>
      </c>
    </row>
    <row r="95" spans="1:6" x14ac:dyDescent="0.25">
      <c r="A95" t="s">
        <v>7</v>
      </c>
      <c r="B95" t="s">
        <v>18</v>
      </c>
      <c r="C95" t="s">
        <v>23</v>
      </c>
      <c r="D95">
        <v>6888</v>
      </c>
      <c r="E95">
        <v>3991</v>
      </c>
      <c r="F95" t="s">
        <v>32</v>
      </c>
    </row>
    <row r="96" spans="1:6" x14ac:dyDescent="0.25">
      <c r="A96" t="s">
        <v>7</v>
      </c>
      <c r="B96" t="s">
        <v>14</v>
      </c>
      <c r="C96" t="s">
        <v>23</v>
      </c>
      <c r="D96">
        <v>5089</v>
      </c>
      <c r="E96">
        <v>7252</v>
      </c>
      <c r="F96" t="s">
        <v>32</v>
      </c>
    </row>
    <row r="97" spans="1:6" x14ac:dyDescent="0.25">
      <c r="A97" t="s">
        <v>6</v>
      </c>
      <c r="B97" t="s">
        <v>15</v>
      </c>
      <c r="C97" t="s">
        <v>20</v>
      </c>
      <c r="D97">
        <v>6400</v>
      </c>
      <c r="E97">
        <v>11481</v>
      </c>
      <c r="F97" t="s">
        <v>33</v>
      </c>
    </row>
    <row r="98" spans="1:6" x14ac:dyDescent="0.25">
      <c r="A98" t="s">
        <v>9</v>
      </c>
      <c r="B98" t="s">
        <v>18</v>
      </c>
      <c r="C98" t="s">
        <v>20</v>
      </c>
      <c r="D98">
        <v>4348</v>
      </c>
      <c r="E98">
        <v>8465</v>
      </c>
    </row>
    <row r="99" spans="1:6" x14ac:dyDescent="0.25">
      <c r="A99" t="s">
        <v>8</v>
      </c>
      <c r="B99" t="s">
        <v>19</v>
      </c>
      <c r="C99" t="s">
        <v>26</v>
      </c>
      <c r="D99">
        <v>3871</v>
      </c>
      <c r="E99">
        <v>2944</v>
      </c>
      <c r="F99" t="s">
        <v>35</v>
      </c>
    </row>
    <row r="100" spans="1:6" x14ac:dyDescent="0.25">
      <c r="A100" t="s">
        <v>8</v>
      </c>
      <c r="B100" t="s">
        <v>13</v>
      </c>
      <c r="C100" t="s">
        <v>23</v>
      </c>
      <c r="D100">
        <v>2588</v>
      </c>
      <c r="E100">
        <v>6655</v>
      </c>
      <c r="F100" t="s">
        <v>33</v>
      </c>
    </row>
    <row r="101" spans="1:6" x14ac:dyDescent="0.25">
      <c r="A101" t="s">
        <v>6</v>
      </c>
      <c r="B101" t="s">
        <v>15</v>
      </c>
      <c r="C101" t="s">
        <v>20</v>
      </c>
      <c r="D101">
        <v>5419</v>
      </c>
      <c r="E101">
        <v>10036</v>
      </c>
      <c r="F101" t="s">
        <v>33</v>
      </c>
    </row>
    <row r="102" spans="1:6" x14ac:dyDescent="0.25">
      <c r="A102" t="s">
        <v>6</v>
      </c>
      <c r="B102" t="s">
        <v>17</v>
      </c>
      <c r="C102" t="s">
        <v>30</v>
      </c>
      <c r="D102">
        <v>6484</v>
      </c>
      <c r="E102">
        <v>11321</v>
      </c>
      <c r="F102" t="s">
        <v>33</v>
      </c>
    </row>
    <row r="103" spans="1:6" x14ac:dyDescent="0.25">
      <c r="A103" t="s">
        <v>12</v>
      </c>
      <c r="B103" t="s">
        <v>18</v>
      </c>
      <c r="C103" t="s">
        <v>26</v>
      </c>
      <c r="D103">
        <v>2824</v>
      </c>
      <c r="E103">
        <v>4259</v>
      </c>
      <c r="F103" t="s">
        <v>35</v>
      </c>
    </row>
    <row r="104" spans="1:6" x14ac:dyDescent="0.25">
      <c r="A104" t="s">
        <v>6</v>
      </c>
      <c r="B104" t="s">
        <v>16</v>
      </c>
      <c r="C104" t="s">
        <v>24</v>
      </c>
      <c r="D104">
        <v>3283</v>
      </c>
      <c r="E104">
        <v>2284</v>
      </c>
      <c r="F104" t="s">
        <v>35</v>
      </c>
    </row>
    <row r="105" spans="1:6" x14ac:dyDescent="0.25">
      <c r="A105" t="s">
        <v>9</v>
      </c>
      <c r="B105" t="s">
        <v>15</v>
      </c>
      <c r="C105" t="s">
        <v>26</v>
      </c>
      <c r="D105">
        <v>1385</v>
      </c>
      <c r="E105">
        <v>3043</v>
      </c>
      <c r="F105" t="s">
        <v>35</v>
      </c>
    </row>
    <row r="106" spans="1:6" x14ac:dyDescent="0.25">
      <c r="A106" t="s">
        <v>9</v>
      </c>
      <c r="B106" t="s">
        <v>18</v>
      </c>
      <c r="C106" t="s">
        <v>26</v>
      </c>
      <c r="D106">
        <v>5925</v>
      </c>
      <c r="E106">
        <v>1611</v>
      </c>
      <c r="F106" t="s">
        <v>33</v>
      </c>
    </row>
    <row r="107" spans="1:6" x14ac:dyDescent="0.25">
      <c r="A107" t="s">
        <v>10</v>
      </c>
      <c r="B107" t="s">
        <v>13</v>
      </c>
      <c r="C107" t="s">
        <v>29</v>
      </c>
      <c r="D107">
        <v>4713</v>
      </c>
      <c r="E107">
        <v>1374</v>
      </c>
    </row>
    <row r="108" spans="1:6" x14ac:dyDescent="0.25">
      <c r="A108" t="s">
        <v>6</v>
      </c>
      <c r="B108" t="s">
        <v>18</v>
      </c>
      <c r="C108" t="s">
        <v>27</v>
      </c>
      <c r="D108">
        <v>9681</v>
      </c>
      <c r="E108">
        <v>11376</v>
      </c>
      <c r="F108" t="s">
        <v>33</v>
      </c>
    </row>
    <row r="109" spans="1:6" x14ac:dyDescent="0.25">
      <c r="A109" t="s">
        <v>9</v>
      </c>
      <c r="B109" t="s">
        <v>14</v>
      </c>
      <c r="C109" t="s">
        <v>24</v>
      </c>
      <c r="D109">
        <v>3056</v>
      </c>
      <c r="E109">
        <v>9707</v>
      </c>
      <c r="F109" t="s">
        <v>35</v>
      </c>
    </row>
    <row r="110" spans="1:6" x14ac:dyDescent="0.25">
      <c r="A110" t="s">
        <v>10</v>
      </c>
      <c r="B110" t="s">
        <v>14</v>
      </c>
      <c r="C110" t="s">
        <v>23</v>
      </c>
      <c r="D110">
        <v>2839</v>
      </c>
      <c r="E110">
        <v>831</v>
      </c>
      <c r="F110" t="s">
        <v>32</v>
      </c>
    </row>
    <row r="111" spans="1:6" x14ac:dyDescent="0.25">
      <c r="A111" t="s">
        <v>11</v>
      </c>
      <c r="B111" t="s">
        <v>15</v>
      </c>
      <c r="C111" t="s">
        <v>27</v>
      </c>
      <c r="D111">
        <v>8899</v>
      </c>
      <c r="E111">
        <v>10544</v>
      </c>
      <c r="F111" t="s">
        <v>34</v>
      </c>
    </row>
    <row r="112" spans="1:6" x14ac:dyDescent="0.25">
      <c r="A112" t="s">
        <v>11</v>
      </c>
      <c r="B112" t="s">
        <v>19</v>
      </c>
      <c r="C112" t="s">
        <v>29</v>
      </c>
      <c r="D112">
        <v>4949</v>
      </c>
      <c r="E112">
        <v>9798</v>
      </c>
      <c r="F112" t="s">
        <v>32</v>
      </c>
    </row>
    <row r="113" spans="1:6" x14ac:dyDescent="0.25">
      <c r="A113" t="s">
        <v>8</v>
      </c>
      <c r="B113" t="s">
        <v>17</v>
      </c>
      <c r="C113" t="s">
        <v>20</v>
      </c>
      <c r="D113">
        <v>6496</v>
      </c>
      <c r="E113">
        <v>6564</v>
      </c>
      <c r="F113" t="s">
        <v>32</v>
      </c>
    </row>
    <row r="114" spans="1:6" x14ac:dyDescent="0.25">
      <c r="A114" t="s">
        <v>9</v>
      </c>
      <c r="B114" t="s">
        <v>18</v>
      </c>
      <c r="C114" t="s">
        <v>23</v>
      </c>
      <c r="D114">
        <v>8018</v>
      </c>
      <c r="E114">
        <v>10019</v>
      </c>
      <c r="F114" t="s">
        <v>33</v>
      </c>
    </row>
    <row r="115" spans="1:6" x14ac:dyDescent="0.25">
      <c r="A115" t="s">
        <v>12</v>
      </c>
      <c r="B115" t="s">
        <v>13</v>
      </c>
      <c r="C115" t="s">
        <v>25</v>
      </c>
      <c r="D115">
        <v>1923</v>
      </c>
      <c r="E115">
        <v>3834</v>
      </c>
    </row>
    <row r="116" spans="1:6" x14ac:dyDescent="0.25">
      <c r="A116" t="s">
        <v>11</v>
      </c>
      <c r="B116" t="s">
        <v>13</v>
      </c>
      <c r="C116" t="s">
        <v>21</v>
      </c>
      <c r="D116">
        <v>1159</v>
      </c>
      <c r="E116">
        <v>9243</v>
      </c>
      <c r="F116" t="s">
        <v>32</v>
      </c>
    </row>
    <row r="117" spans="1:6" x14ac:dyDescent="0.25">
      <c r="A117" t="s">
        <v>9</v>
      </c>
      <c r="B117" t="s">
        <v>16</v>
      </c>
      <c r="C117" t="s">
        <v>21</v>
      </c>
      <c r="D117">
        <v>1952</v>
      </c>
      <c r="E117">
        <v>1646</v>
      </c>
      <c r="F117" t="s">
        <v>34</v>
      </c>
    </row>
    <row r="118" spans="1:6" x14ac:dyDescent="0.25">
      <c r="A118" t="s">
        <v>12</v>
      </c>
      <c r="B118" t="s">
        <v>13</v>
      </c>
      <c r="C118" t="s">
        <v>29</v>
      </c>
      <c r="D118">
        <v>3819</v>
      </c>
      <c r="E118">
        <v>4948</v>
      </c>
      <c r="F118" t="s">
        <v>32</v>
      </c>
    </row>
    <row r="119" spans="1:6" x14ac:dyDescent="0.25">
      <c r="A119" t="s">
        <v>6</v>
      </c>
      <c r="B119" t="s">
        <v>14</v>
      </c>
      <c r="C119" t="s">
        <v>28</v>
      </c>
      <c r="D119">
        <v>2063</v>
      </c>
      <c r="E119">
        <v>6424</v>
      </c>
      <c r="F119" t="s">
        <v>34</v>
      </c>
    </row>
    <row r="120" spans="1:6" x14ac:dyDescent="0.25">
      <c r="A120" t="s">
        <v>6</v>
      </c>
      <c r="B120" t="s">
        <v>17</v>
      </c>
      <c r="C120" t="s">
        <v>26</v>
      </c>
      <c r="D120">
        <v>1566</v>
      </c>
      <c r="E120">
        <v>6043</v>
      </c>
      <c r="F120" t="s">
        <v>34</v>
      </c>
    </row>
    <row r="121" spans="1:6" x14ac:dyDescent="0.25">
      <c r="A121" t="s">
        <v>12</v>
      </c>
      <c r="B121" t="s">
        <v>18</v>
      </c>
      <c r="C121" t="s">
        <v>30</v>
      </c>
      <c r="D121">
        <v>3485</v>
      </c>
      <c r="E121">
        <v>2227</v>
      </c>
      <c r="F121" t="s">
        <v>34</v>
      </c>
    </row>
    <row r="122" spans="1:6" x14ac:dyDescent="0.25">
      <c r="A122" t="s">
        <v>10</v>
      </c>
      <c r="B122" t="s">
        <v>17</v>
      </c>
      <c r="C122" t="s">
        <v>30</v>
      </c>
      <c r="D122">
        <v>9141</v>
      </c>
      <c r="E122">
        <v>10040</v>
      </c>
      <c r="F122" t="s">
        <v>35</v>
      </c>
    </row>
    <row r="123" spans="1:6" x14ac:dyDescent="0.25">
      <c r="A123" t="s">
        <v>8</v>
      </c>
      <c r="B123" t="s">
        <v>14</v>
      </c>
      <c r="C123" t="s">
        <v>22</v>
      </c>
      <c r="D123">
        <v>3619</v>
      </c>
      <c r="E123">
        <v>6866</v>
      </c>
      <c r="F123" t="s">
        <v>33</v>
      </c>
    </row>
    <row r="124" spans="1:6" x14ac:dyDescent="0.25">
      <c r="A124" t="s">
        <v>8</v>
      </c>
      <c r="B124" t="s">
        <v>18</v>
      </c>
      <c r="C124" t="s">
        <v>24</v>
      </c>
      <c r="D124">
        <v>1302</v>
      </c>
      <c r="E124">
        <v>10929</v>
      </c>
      <c r="F124" t="s">
        <v>35</v>
      </c>
    </row>
    <row r="125" spans="1:6" x14ac:dyDescent="0.25">
      <c r="A125" t="s">
        <v>12</v>
      </c>
      <c r="B125" t="s">
        <v>18</v>
      </c>
      <c r="C125" t="s">
        <v>24</v>
      </c>
      <c r="D125">
        <v>1816</v>
      </c>
      <c r="E125">
        <v>3942</v>
      </c>
      <c r="F125" t="s">
        <v>32</v>
      </c>
    </row>
    <row r="126" spans="1:6" x14ac:dyDescent="0.25">
      <c r="A126" t="s">
        <v>8</v>
      </c>
      <c r="B126" t="s">
        <v>14</v>
      </c>
      <c r="C126" t="s">
        <v>28</v>
      </c>
      <c r="D126">
        <v>2553</v>
      </c>
      <c r="E126">
        <v>3881</v>
      </c>
      <c r="F126" t="s">
        <v>32</v>
      </c>
    </row>
    <row r="127" spans="1:6" x14ac:dyDescent="0.25">
      <c r="A127" t="s">
        <v>12</v>
      </c>
      <c r="B127" t="s">
        <v>13</v>
      </c>
      <c r="C127" t="s">
        <v>31</v>
      </c>
      <c r="D127">
        <v>8243</v>
      </c>
      <c r="E127">
        <v>10125</v>
      </c>
      <c r="F127" t="s">
        <v>32</v>
      </c>
    </row>
    <row r="128" spans="1:6" x14ac:dyDescent="0.25">
      <c r="A128" t="s">
        <v>6</v>
      </c>
      <c r="B128" t="s">
        <v>15</v>
      </c>
      <c r="C128" t="s">
        <v>29</v>
      </c>
      <c r="D128">
        <v>6346</v>
      </c>
      <c r="E128">
        <v>6459</v>
      </c>
      <c r="F128" t="s">
        <v>34</v>
      </c>
    </row>
    <row r="129" spans="1:6" x14ac:dyDescent="0.25">
      <c r="A129" t="s">
        <v>9</v>
      </c>
      <c r="B129" t="s">
        <v>16</v>
      </c>
      <c r="C129" t="s">
        <v>28</v>
      </c>
      <c r="D129">
        <v>3615</v>
      </c>
      <c r="E129">
        <v>3735</v>
      </c>
      <c r="F129" t="s">
        <v>34</v>
      </c>
    </row>
    <row r="130" spans="1:6" x14ac:dyDescent="0.25">
      <c r="A130" t="s">
        <v>7</v>
      </c>
      <c r="B130" t="s">
        <v>17</v>
      </c>
      <c r="C130" t="s">
        <v>29</v>
      </c>
      <c r="D130">
        <v>5399</v>
      </c>
      <c r="E130">
        <v>6127</v>
      </c>
    </row>
    <row r="131" spans="1:6" x14ac:dyDescent="0.25">
      <c r="A131" t="s">
        <v>11</v>
      </c>
      <c r="B131" t="s">
        <v>14</v>
      </c>
      <c r="C131" t="s">
        <v>30</v>
      </c>
      <c r="D131">
        <v>5806</v>
      </c>
      <c r="E131">
        <v>2415</v>
      </c>
      <c r="F131" t="s">
        <v>33</v>
      </c>
    </row>
    <row r="132" spans="1:6" x14ac:dyDescent="0.25">
      <c r="A132" t="s">
        <v>12</v>
      </c>
      <c r="B132" t="s">
        <v>14</v>
      </c>
      <c r="C132" t="s">
        <v>21</v>
      </c>
      <c r="D132">
        <v>1837</v>
      </c>
      <c r="E132">
        <v>7341</v>
      </c>
      <c r="F132" t="s">
        <v>34</v>
      </c>
    </row>
    <row r="133" spans="1:6" x14ac:dyDescent="0.25">
      <c r="A133" t="s">
        <v>6</v>
      </c>
      <c r="B133" t="s">
        <v>16</v>
      </c>
      <c r="C133" t="s">
        <v>26</v>
      </c>
      <c r="D133">
        <v>1585</v>
      </c>
      <c r="E133">
        <v>8036</v>
      </c>
      <c r="F133" t="s">
        <v>34</v>
      </c>
    </row>
    <row r="134" spans="1:6" x14ac:dyDescent="0.25">
      <c r="A134" t="s">
        <v>6</v>
      </c>
      <c r="B134" t="s">
        <v>16</v>
      </c>
      <c r="C134" t="s">
        <v>24</v>
      </c>
      <c r="D134">
        <v>4704</v>
      </c>
      <c r="E134">
        <v>1099</v>
      </c>
      <c r="F134" t="s">
        <v>32</v>
      </c>
    </row>
    <row r="135" spans="1:6" x14ac:dyDescent="0.25">
      <c r="A135" t="s">
        <v>7</v>
      </c>
      <c r="B135" t="s">
        <v>16</v>
      </c>
      <c r="C135" t="s">
        <v>30</v>
      </c>
      <c r="D135">
        <v>6386</v>
      </c>
      <c r="E135">
        <v>6028</v>
      </c>
      <c r="F135" t="s">
        <v>34</v>
      </c>
    </row>
    <row r="136" spans="1:6" x14ac:dyDescent="0.25">
      <c r="A136" t="s">
        <v>7</v>
      </c>
      <c r="B136" t="s">
        <v>19</v>
      </c>
      <c r="C136" t="s">
        <v>23</v>
      </c>
      <c r="D136">
        <v>7733</v>
      </c>
      <c r="E136">
        <v>4773</v>
      </c>
      <c r="F136" t="s">
        <v>34</v>
      </c>
    </row>
    <row r="137" spans="1:6" x14ac:dyDescent="0.25">
      <c r="A137" t="s">
        <v>12</v>
      </c>
      <c r="B137" t="s">
        <v>17</v>
      </c>
      <c r="C137" t="s">
        <v>28</v>
      </c>
      <c r="D137">
        <v>4382</v>
      </c>
      <c r="E137">
        <v>2988</v>
      </c>
    </row>
    <row r="138" spans="1:6" x14ac:dyDescent="0.25">
      <c r="A138" t="s">
        <v>11</v>
      </c>
      <c r="B138" t="s">
        <v>15</v>
      </c>
      <c r="C138" t="s">
        <v>21</v>
      </c>
      <c r="D138">
        <v>7398</v>
      </c>
      <c r="E138">
        <v>11208</v>
      </c>
    </row>
    <row r="139" spans="1:6" x14ac:dyDescent="0.25">
      <c r="A139" t="s">
        <v>10</v>
      </c>
      <c r="B139" t="s">
        <v>17</v>
      </c>
      <c r="C139" t="s">
        <v>31</v>
      </c>
      <c r="D139">
        <v>9867</v>
      </c>
      <c r="E139">
        <v>8693</v>
      </c>
    </row>
    <row r="140" spans="1:6" x14ac:dyDescent="0.25">
      <c r="A140" t="s">
        <v>6</v>
      </c>
      <c r="B140" t="s">
        <v>13</v>
      </c>
      <c r="C140" t="s">
        <v>24</v>
      </c>
      <c r="D140">
        <v>8813</v>
      </c>
      <c r="E140">
        <v>8553</v>
      </c>
      <c r="F140" t="s">
        <v>32</v>
      </c>
    </row>
    <row r="141" spans="1:6" x14ac:dyDescent="0.25">
      <c r="A141" t="s">
        <v>8</v>
      </c>
      <c r="B141" t="s">
        <v>17</v>
      </c>
      <c r="C141" t="s">
        <v>30</v>
      </c>
      <c r="D141">
        <v>7276</v>
      </c>
      <c r="E141">
        <v>7102</v>
      </c>
      <c r="F141" t="s">
        <v>34</v>
      </c>
    </row>
    <row r="142" spans="1:6" x14ac:dyDescent="0.25">
      <c r="A142" t="s">
        <v>8</v>
      </c>
      <c r="B142" t="s">
        <v>13</v>
      </c>
      <c r="C142" t="s">
        <v>30</v>
      </c>
      <c r="D142">
        <v>8998</v>
      </c>
      <c r="E142">
        <v>11610</v>
      </c>
      <c r="F142" t="s">
        <v>33</v>
      </c>
    </row>
    <row r="143" spans="1:6" x14ac:dyDescent="0.25">
      <c r="A143" t="s">
        <v>11</v>
      </c>
      <c r="B143" t="s">
        <v>14</v>
      </c>
      <c r="C143" t="s">
        <v>24</v>
      </c>
      <c r="D143">
        <v>1274</v>
      </c>
      <c r="E143">
        <v>1938</v>
      </c>
      <c r="F143" t="s">
        <v>33</v>
      </c>
    </row>
    <row r="144" spans="1:6" x14ac:dyDescent="0.25">
      <c r="A144" t="s">
        <v>6</v>
      </c>
      <c r="B144" t="s">
        <v>16</v>
      </c>
      <c r="C144" t="s">
        <v>22</v>
      </c>
      <c r="D144">
        <v>5123</v>
      </c>
      <c r="E144">
        <v>7843</v>
      </c>
      <c r="F144" t="s">
        <v>32</v>
      </c>
    </row>
    <row r="145" spans="1:6" x14ac:dyDescent="0.25">
      <c r="A145" t="s">
        <v>8</v>
      </c>
      <c r="B145" t="s">
        <v>14</v>
      </c>
      <c r="C145" t="s">
        <v>22</v>
      </c>
      <c r="D145">
        <v>7064</v>
      </c>
      <c r="E145">
        <v>2139</v>
      </c>
    </row>
    <row r="146" spans="1:6" x14ac:dyDescent="0.25">
      <c r="A146" t="s">
        <v>10</v>
      </c>
      <c r="B146" t="s">
        <v>18</v>
      </c>
      <c r="C146" t="s">
        <v>25</v>
      </c>
      <c r="D146">
        <v>8321</v>
      </c>
      <c r="E146">
        <v>7191</v>
      </c>
      <c r="F146" t="s">
        <v>34</v>
      </c>
    </row>
    <row r="147" spans="1:6" x14ac:dyDescent="0.25">
      <c r="A147" t="s">
        <v>11</v>
      </c>
      <c r="B147" t="s">
        <v>19</v>
      </c>
      <c r="C147" t="s">
        <v>22</v>
      </c>
      <c r="D147">
        <v>5624</v>
      </c>
      <c r="E147">
        <v>9652</v>
      </c>
      <c r="F147" t="s">
        <v>35</v>
      </c>
    </row>
    <row r="148" spans="1:6" x14ac:dyDescent="0.25">
      <c r="A148" t="s">
        <v>9</v>
      </c>
      <c r="B148" t="s">
        <v>17</v>
      </c>
      <c r="C148" t="s">
        <v>25</v>
      </c>
      <c r="D148">
        <v>3363</v>
      </c>
      <c r="E148">
        <v>7558</v>
      </c>
    </row>
    <row r="149" spans="1:6" x14ac:dyDescent="0.25">
      <c r="A149" t="s">
        <v>11</v>
      </c>
      <c r="B149" t="s">
        <v>16</v>
      </c>
      <c r="C149" t="s">
        <v>24</v>
      </c>
      <c r="D149">
        <v>3860</v>
      </c>
      <c r="E149">
        <v>965</v>
      </c>
      <c r="F149" t="s">
        <v>34</v>
      </c>
    </row>
    <row r="150" spans="1:6" x14ac:dyDescent="0.25">
      <c r="A150" t="s">
        <v>8</v>
      </c>
      <c r="B150" t="s">
        <v>13</v>
      </c>
      <c r="C150" t="s">
        <v>28</v>
      </c>
      <c r="D150">
        <v>6061</v>
      </c>
      <c r="E150">
        <v>3903</v>
      </c>
    </row>
    <row r="151" spans="1:6" x14ac:dyDescent="0.25">
      <c r="A151" t="s">
        <v>6</v>
      </c>
      <c r="B151" t="s">
        <v>18</v>
      </c>
      <c r="C151" t="s">
        <v>30</v>
      </c>
      <c r="D151">
        <v>8470</v>
      </c>
      <c r="E151">
        <v>5246</v>
      </c>
    </row>
    <row r="152" spans="1:6" x14ac:dyDescent="0.25">
      <c r="A152" t="s">
        <v>7</v>
      </c>
      <c r="B152" t="s">
        <v>19</v>
      </c>
      <c r="C152" t="s">
        <v>22</v>
      </c>
      <c r="D152">
        <v>6850</v>
      </c>
      <c r="E152">
        <v>5804</v>
      </c>
      <c r="F152" t="s">
        <v>35</v>
      </c>
    </row>
    <row r="153" spans="1:6" x14ac:dyDescent="0.25">
      <c r="A153" t="s">
        <v>12</v>
      </c>
      <c r="B153" t="s">
        <v>15</v>
      </c>
      <c r="C153" t="s">
        <v>21</v>
      </c>
      <c r="D153">
        <v>6963</v>
      </c>
      <c r="E153">
        <v>7460</v>
      </c>
      <c r="F153" t="s">
        <v>34</v>
      </c>
    </row>
    <row r="154" spans="1:6" x14ac:dyDescent="0.25">
      <c r="A154" t="s">
        <v>8</v>
      </c>
      <c r="B154" t="s">
        <v>19</v>
      </c>
      <c r="C154" t="s">
        <v>20</v>
      </c>
      <c r="D154">
        <v>8235</v>
      </c>
      <c r="E154">
        <v>11316</v>
      </c>
      <c r="F154" t="s">
        <v>35</v>
      </c>
    </row>
    <row r="155" spans="1:6" x14ac:dyDescent="0.25">
      <c r="A155" t="s">
        <v>11</v>
      </c>
      <c r="B155" t="s">
        <v>19</v>
      </c>
      <c r="C155" t="s">
        <v>29</v>
      </c>
      <c r="D155">
        <v>4770</v>
      </c>
      <c r="E155">
        <v>5145</v>
      </c>
      <c r="F155" t="s">
        <v>33</v>
      </c>
    </row>
    <row r="156" spans="1:6" x14ac:dyDescent="0.25">
      <c r="A156" t="s">
        <v>7</v>
      </c>
      <c r="B156" t="s">
        <v>18</v>
      </c>
      <c r="C156" t="s">
        <v>21</v>
      </c>
      <c r="D156">
        <v>6281</v>
      </c>
      <c r="E156">
        <v>2852</v>
      </c>
      <c r="F156" t="s">
        <v>34</v>
      </c>
    </row>
    <row r="157" spans="1:6" x14ac:dyDescent="0.25">
      <c r="A157" t="s">
        <v>12</v>
      </c>
      <c r="B157" t="s">
        <v>18</v>
      </c>
      <c r="C157" t="s">
        <v>27</v>
      </c>
      <c r="D157">
        <v>6818</v>
      </c>
      <c r="E157">
        <v>4819</v>
      </c>
    </row>
    <row r="158" spans="1:6" x14ac:dyDescent="0.25">
      <c r="A158" t="s">
        <v>7</v>
      </c>
      <c r="B158" t="s">
        <v>16</v>
      </c>
      <c r="C158" t="s">
        <v>30</v>
      </c>
      <c r="D158">
        <v>7068</v>
      </c>
      <c r="E158">
        <v>10517</v>
      </c>
      <c r="F158" t="s">
        <v>35</v>
      </c>
    </row>
    <row r="159" spans="1:6" x14ac:dyDescent="0.25">
      <c r="A159" t="s">
        <v>8</v>
      </c>
      <c r="B159" t="s">
        <v>17</v>
      </c>
      <c r="C159" t="s">
        <v>23</v>
      </c>
      <c r="D159">
        <v>8822</v>
      </c>
      <c r="E159">
        <v>8070</v>
      </c>
      <c r="F159" t="s">
        <v>33</v>
      </c>
    </row>
    <row r="160" spans="1:6" x14ac:dyDescent="0.25">
      <c r="A160" t="s">
        <v>6</v>
      </c>
      <c r="B160" t="s">
        <v>15</v>
      </c>
      <c r="C160" t="s">
        <v>31</v>
      </c>
      <c r="D160">
        <v>3336</v>
      </c>
      <c r="E160">
        <v>6550</v>
      </c>
    </row>
    <row r="161" spans="1:6" x14ac:dyDescent="0.25">
      <c r="A161" t="s">
        <v>7</v>
      </c>
      <c r="B161" t="s">
        <v>15</v>
      </c>
      <c r="C161" t="s">
        <v>23</v>
      </c>
      <c r="D161">
        <v>3291</v>
      </c>
      <c r="E161">
        <v>9771</v>
      </c>
      <c r="F161" t="s">
        <v>32</v>
      </c>
    </row>
    <row r="162" spans="1:6" x14ac:dyDescent="0.25">
      <c r="A162" t="s">
        <v>10</v>
      </c>
      <c r="B162" t="s">
        <v>17</v>
      </c>
      <c r="C162" t="s">
        <v>26</v>
      </c>
      <c r="D162">
        <v>9356</v>
      </c>
      <c r="E162">
        <v>11851</v>
      </c>
      <c r="F162" t="s">
        <v>34</v>
      </c>
    </row>
    <row r="163" spans="1:6" x14ac:dyDescent="0.25">
      <c r="A163" t="s">
        <v>6</v>
      </c>
      <c r="B163" t="s">
        <v>18</v>
      </c>
      <c r="C163" t="s">
        <v>30</v>
      </c>
      <c r="D163">
        <v>4391</v>
      </c>
      <c r="E163">
        <v>3112</v>
      </c>
      <c r="F163" t="s">
        <v>32</v>
      </c>
    </row>
    <row r="164" spans="1:6" x14ac:dyDescent="0.25">
      <c r="A164" t="s">
        <v>8</v>
      </c>
      <c r="B164" t="s">
        <v>18</v>
      </c>
      <c r="C164" t="s">
        <v>20</v>
      </c>
      <c r="D164">
        <v>1408</v>
      </c>
      <c r="E164">
        <v>5018</v>
      </c>
      <c r="F164" t="s">
        <v>33</v>
      </c>
    </row>
    <row r="165" spans="1:6" x14ac:dyDescent="0.25">
      <c r="A165" t="s">
        <v>12</v>
      </c>
      <c r="B165" t="s">
        <v>14</v>
      </c>
      <c r="C165" t="s">
        <v>31</v>
      </c>
      <c r="D165">
        <v>7553</v>
      </c>
      <c r="E165">
        <v>4643</v>
      </c>
      <c r="F165" t="s">
        <v>33</v>
      </c>
    </row>
    <row r="166" spans="1:6" x14ac:dyDescent="0.25">
      <c r="A166" t="s">
        <v>7</v>
      </c>
      <c r="B166" t="s">
        <v>16</v>
      </c>
      <c r="C166" t="s">
        <v>24</v>
      </c>
      <c r="D166">
        <v>4348</v>
      </c>
      <c r="E166">
        <v>1086</v>
      </c>
    </row>
    <row r="167" spans="1:6" x14ac:dyDescent="0.25">
      <c r="A167" t="s">
        <v>12</v>
      </c>
      <c r="B167" t="s">
        <v>17</v>
      </c>
      <c r="C167" t="s">
        <v>20</v>
      </c>
      <c r="D167">
        <v>3548</v>
      </c>
      <c r="E167">
        <v>3142</v>
      </c>
      <c r="F167" t="s">
        <v>33</v>
      </c>
    </row>
    <row r="168" spans="1:6" x14ac:dyDescent="0.25">
      <c r="A168" t="s">
        <v>6</v>
      </c>
      <c r="B168" t="s">
        <v>18</v>
      </c>
      <c r="C168" t="s">
        <v>27</v>
      </c>
      <c r="D168">
        <v>8189</v>
      </c>
      <c r="E168">
        <v>8919</v>
      </c>
      <c r="F168" t="s">
        <v>32</v>
      </c>
    </row>
    <row r="169" spans="1:6" x14ac:dyDescent="0.25">
      <c r="A169" t="s">
        <v>9</v>
      </c>
      <c r="B169" t="s">
        <v>15</v>
      </c>
      <c r="C169" t="s">
        <v>22</v>
      </c>
      <c r="D169">
        <v>3517</v>
      </c>
      <c r="E169">
        <v>8970</v>
      </c>
    </row>
    <row r="170" spans="1:6" x14ac:dyDescent="0.25">
      <c r="A170" t="s">
        <v>6</v>
      </c>
      <c r="B170" t="s">
        <v>18</v>
      </c>
      <c r="C170" t="s">
        <v>20</v>
      </c>
      <c r="D170">
        <v>9821</v>
      </c>
      <c r="E170">
        <v>7026</v>
      </c>
    </row>
    <row r="171" spans="1:6" x14ac:dyDescent="0.25">
      <c r="A171" t="s">
        <v>7</v>
      </c>
      <c r="B171" t="s">
        <v>17</v>
      </c>
      <c r="C171" t="s">
        <v>21</v>
      </c>
      <c r="D171">
        <v>5878</v>
      </c>
      <c r="E171">
        <v>4594</v>
      </c>
      <c r="F171" t="s">
        <v>35</v>
      </c>
    </row>
    <row r="172" spans="1:6" x14ac:dyDescent="0.25">
      <c r="A172" t="s">
        <v>9</v>
      </c>
      <c r="B172" t="s">
        <v>13</v>
      </c>
      <c r="C172" t="s">
        <v>20</v>
      </c>
      <c r="D172">
        <v>9986</v>
      </c>
      <c r="E172">
        <v>6304</v>
      </c>
    </row>
    <row r="173" spans="1:6" x14ac:dyDescent="0.25">
      <c r="A173" t="s">
        <v>8</v>
      </c>
      <c r="B173" t="s">
        <v>19</v>
      </c>
      <c r="C173" t="s">
        <v>22</v>
      </c>
      <c r="D173">
        <v>1973</v>
      </c>
      <c r="E173">
        <v>6463</v>
      </c>
      <c r="F173" t="s">
        <v>35</v>
      </c>
    </row>
    <row r="174" spans="1:6" x14ac:dyDescent="0.25">
      <c r="A174" t="s">
        <v>10</v>
      </c>
      <c r="B174" t="s">
        <v>13</v>
      </c>
      <c r="C174" t="s">
        <v>27</v>
      </c>
      <c r="D174">
        <v>5981</v>
      </c>
      <c r="E174">
        <v>10207</v>
      </c>
      <c r="F174" t="s">
        <v>35</v>
      </c>
    </row>
    <row r="175" spans="1:6" x14ac:dyDescent="0.25">
      <c r="A175" t="s">
        <v>7</v>
      </c>
      <c r="B175" t="s">
        <v>18</v>
      </c>
      <c r="C175" t="s">
        <v>25</v>
      </c>
      <c r="D175">
        <v>9540</v>
      </c>
      <c r="E175">
        <v>1153</v>
      </c>
    </row>
    <row r="176" spans="1:6" x14ac:dyDescent="0.25">
      <c r="A176" t="s">
        <v>12</v>
      </c>
      <c r="B176" t="s">
        <v>19</v>
      </c>
      <c r="C176" t="s">
        <v>23</v>
      </c>
      <c r="D176">
        <v>6631</v>
      </c>
      <c r="E176">
        <v>5193</v>
      </c>
      <c r="F176" t="s">
        <v>32</v>
      </c>
    </row>
    <row r="177" spans="1:6" x14ac:dyDescent="0.25">
      <c r="A177" t="s">
        <v>12</v>
      </c>
      <c r="B177" t="s">
        <v>14</v>
      </c>
      <c r="C177" t="s">
        <v>26</v>
      </c>
      <c r="D177">
        <v>3737</v>
      </c>
      <c r="E177">
        <v>814</v>
      </c>
      <c r="F177" t="s">
        <v>34</v>
      </c>
    </row>
    <row r="178" spans="1:6" x14ac:dyDescent="0.25">
      <c r="A178" t="s">
        <v>8</v>
      </c>
      <c r="B178" t="s">
        <v>14</v>
      </c>
      <c r="C178" t="s">
        <v>26</v>
      </c>
      <c r="D178">
        <v>4941</v>
      </c>
      <c r="E178">
        <v>7764</v>
      </c>
      <c r="F178" t="s">
        <v>34</v>
      </c>
    </row>
    <row r="179" spans="1:6" x14ac:dyDescent="0.25">
      <c r="A179" t="s">
        <v>9</v>
      </c>
      <c r="B179" t="s">
        <v>14</v>
      </c>
      <c r="C179" t="s">
        <v>20</v>
      </c>
      <c r="D179">
        <v>7569</v>
      </c>
      <c r="E179">
        <v>6793</v>
      </c>
      <c r="F179" t="s">
        <v>32</v>
      </c>
    </row>
    <row r="180" spans="1:6" x14ac:dyDescent="0.25">
      <c r="A180" t="s">
        <v>6</v>
      </c>
      <c r="B180" t="s">
        <v>19</v>
      </c>
      <c r="C180" t="s">
        <v>22</v>
      </c>
      <c r="D180">
        <v>8282</v>
      </c>
      <c r="E180">
        <v>6572</v>
      </c>
      <c r="F180" t="s">
        <v>34</v>
      </c>
    </row>
    <row r="181" spans="1:6" x14ac:dyDescent="0.25">
      <c r="A181" t="s">
        <v>10</v>
      </c>
      <c r="B181" t="s">
        <v>15</v>
      </c>
      <c r="C181" t="s">
        <v>21</v>
      </c>
      <c r="D181">
        <v>5707</v>
      </c>
      <c r="E181">
        <v>1247</v>
      </c>
      <c r="F181" t="s">
        <v>33</v>
      </c>
    </row>
    <row r="182" spans="1:6" x14ac:dyDescent="0.25">
      <c r="A182" t="s">
        <v>9</v>
      </c>
      <c r="B182" t="s">
        <v>17</v>
      </c>
      <c r="C182" t="s">
        <v>22</v>
      </c>
      <c r="D182">
        <v>9793</v>
      </c>
      <c r="E182">
        <v>11068</v>
      </c>
      <c r="F182" t="s">
        <v>34</v>
      </c>
    </row>
    <row r="183" spans="1:6" x14ac:dyDescent="0.25">
      <c r="A183" t="s">
        <v>7</v>
      </c>
      <c r="B183" t="s">
        <v>16</v>
      </c>
      <c r="C183" t="s">
        <v>21</v>
      </c>
      <c r="D183">
        <v>5682</v>
      </c>
      <c r="E183">
        <v>5406</v>
      </c>
      <c r="F183" t="s">
        <v>33</v>
      </c>
    </row>
    <row r="184" spans="1:6" x14ac:dyDescent="0.25">
      <c r="A184" t="s">
        <v>6</v>
      </c>
      <c r="B184" t="s">
        <v>17</v>
      </c>
      <c r="C184" t="s">
        <v>28</v>
      </c>
      <c r="D184">
        <v>6208</v>
      </c>
      <c r="E184">
        <v>8384</v>
      </c>
      <c r="F184" t="s">
        <v>33</v>
      </c>
    </row>
    <row r="185" spans="1:6" x14ac:dyDescent="0.25">
      <c r="A185" t="s">
        <v>6</v>
      </c>
      <c r="B185" t="s">
        <v>16</v>
      </c>
      <c r="C185" t="s">
        <v>25</v>
      </c>
      <c r="D185">
        <v>2120</v>
      </c>
      <c r="E185">
        <v>3045</v>
      </c>
      <c r="F185" t="s">
        <v>33</v>
      </c>
    </row>
    <row r="186" spans="1:6" x14ac:dyDescent="0.25">
      <c r="A186" t="s">
        <v>12</v>
      </c>
      <c r="B186" t="s">
        <v>17</v>
      </c>
      <c r="C186" t="s">
        <v>21</v>
      </c>
      <c r="D186">
        <v>6061</v>
      </c>
      <c r="E186">
        <v>11421</v>
      </c>
    </row>
    <row r="187" spans="1:6" x14ac:dyDescent="0.25">
      <c r="A187" t="s">
        <v>6</v>
      </c>
      <c r="B187" t="s">
        <v>15</v>
      </c>
      <c r="C187" t="s">
        <v>29</v>
      </c>
      <c r="D187">
        <v>7404</v>
      </c>
      <c r="E187">
        <v>7108</v>
      </c>
      <c r="F187" t="s">
        <v>34</v>
      </c>
    </row>
    <row r="188" spans="1:6" x14ac:dyDescent="0.25">
      <c r="A188" t="s">
        <v>12</v>
      </c>
      <c r="B188" t="s">
        <v>19</v>
      </c>
      <c r="C188" t="s">
        <v>28</v>
      </c>
      <c r="D188">
        <v>8616</v>
      </c>
      <c r="E188">
        <v>3212</v>
      </c>
      <c r="F188" t="s">
        <v>33</v>
      </c>
    </row>
    <row r="189" spans="1:6" x14ac:dyDescent="0.25">
      <c r="A189" t="s">
        <v>11</v>
      </c>
      <c r="B189" t="s">
        <v>15</v>
      </c>
      <c r="C189" t="s">
        <v>31</v>
      </c>
      <c r="D189">
        <v>7610</v>
      </c>
      <c r="E189">
        <v>7804</v>
      </c>
      <c r="F189" t="s">
        <v>35</v>
      </c>
    </row>
    <row r="190" spans="1:6" x14ac:dyDescent="0.25">
      <c r="A190" t="s">
        <v>7</v>
      </c>
      <c r="B190" t="s">
        <v>18</v>
      </c>
      <c r="C190" t="s">
        <v>28</v>
      </c>
      <c r="D190">
        <v>8538</v>
      </c>
      <c r="E190">
        <v>9089</v>
      </c>
      <c r="F190" t="s">
        <v>34</v>
      </c>
    </row>
    <row r="191" spans="1:6" x14ac:dyDescent="0.25">
      <c r="A191" t="s">
        <v>8</v>
      </c>
      <c r="B191" t="s">
        <v>14</v>
      </c>
      <c r="C191" t="s">
        <v>21</v>
      </c>
      <c r="D191">
        <v>2560</v>
      </c>
      <c r="E191">
        <v>3967</v>
      </c>
      <c r="F191" t="s">
        <v>33</v>
      </c>
    </row>
    <row r="192" spans="1:6" x14ac:dyDescent="0.25">
      <c r="A192" t="s">
        <v>9</v>
      </c>
      <c r="B192" t="s">
        <v>19</v>
      </c>
      <c r="C192" t="s">
        <v>28</v>
      </c>
      <c r="D192">
        <v>1505</v>
      </c>
      <c r="E192">
        <v>3747</v>
      </c>
      <c r="F192" t="s">
        <v>32</v>
      </c>
    </row>
    <row r="193" spans="1:6" x14ac:dyDescent="0.25">
      <c r="A193" t="s">
        <v>9</v>
      </c>
      <c r="B193" t="s">
        <v>18</v>
      </c>
      <c r="C193" t="s">
        <v>24</v>
      </c>
      <c r="D193">
        <v>8673</v>
      </c>
      <c r="E193">
        <v>7189</v>
      </c>
      <c r="F193" t="s">
        <v>33</v>
      </c>
    </row>
    <row r="194" spans="1:6" x14ac:dyDescent="0.25">
      <c r="A194" t="s">
        <v>11</v>
      </c>
      <c r="B194" t="s">
        <v>15</v>
      </c>
      <c r="C194" t="s">
        <v>25</v>
      </c>
      <c r="D194">
        <v>6222</v>
      </c>
      <c r="E194">
        <v>4080</v>
      </c>
      <c r="F194" t="s">
        <v>32</v>
      </c>
    </row>
    <row r="195" spans="1:6" x14ac:dyDescent="0.25">
      <c r="A195" t="s">
        <v>6</v>
      </c>
      <c r="B195" t="s">
        <v>15</v>
      </c>
      <c r="C195" t="s">
        <v>21</v>
      </c>
      <c r="D195">
        <v>4392</v>
      </c>
      <c r="E195">
        <v>7311</v>
      </c>
    </row>
    <row r="196" spans="1:6" x14ac:dyDescent="0.25">
      <c r="A196" t="s">
        <v>10</v>
      </c>
      <c r="B196" t="s">
        <v>13</v>
      </c>
      <c r="C196" t="s">
        <v>21</v>
      </c>
      <c r="D196">
        <v>9217</v>
      </c>
      <c r="E196">
        <v>7989</v>
      </c>
      <c r="F196" t="s">
        <v>32</v>
      </c>
    </row>
    <row r="197" spans="1:6" x14ac:dyDescent="0.25">
      <c r="A197" t="s">
        <v>12</v>
      </c>
      <c r="B197" t="s">
        <v>18</v>
      </c>
      <c r="C197" t="s">
        <v>21</v>
      </c>
      <c r="D197">
        <v>5890</v>
      </c>
      <c r="E197">
        <v>9929</v>
      </c>
      <c r="F197" t="s">
        <v>34</v>
      </c>
    </row>
    <row r="198" spans="1:6" x14ac:dyDescent="0.25">
      <c r="A198" t="s">
        <v>9</v>
      </c>
      <c r="B198" t="s">
        <v>13</v>
      </c>
      <c r="C198" t="s">
        <v>31</v>
      </c>
      <c r="D198">
        <v>5854</v>
      </c>
      <c r="E198">
        <v>8953</v>
      </c>
    </row>
    <row r="199" spans="1:6" x14ac:dyDescent="0.25">
      <c r="A199" t="s">
        <v>12</v>
      </c>
      <c r="B199" t="s">
        <v>14</v>
      </c>
      <c r="C199" t="s">
        <v>23</v>
      </c>
      <c r="D199">
        <v>8987</v>
      </c>
      <c r="E199">
        <v>9571</v>
      </c>
    </row>
    <row r="200" spans="1:6" x14ac:dyDescent="0.25">
      <c r="A200" t="s">
        <v>10</v>
      </c>
      <c r="B200" t="s">
        <v>16</v>
      </c>
      <c r="C200" t="s">
        <v>25</v>
      </c>
      <c r="D200">
        <v>5671</v>
      </c>
      <c r="E200">
        <v>4006</v>
      </c>
      <c r="F200" t="s">
        <v>34</v>
      </c>
    </row>
    <row r="201" spans="1:6" x14ac:dyDescent="0.25">
      <c r="A201" t="s">
        <v>12</v>
      </c>
      <c r="B201" t="s">
        <v>13</v>
      </c>
      <c r="C201" t="s">
        <v>22</v>
      </c>
      <c r="D201">
        <v>7645</v>
      </c>
      <c r="E201">
        <v>8793</v>
      </c>
      <c r="F201" t="s">
        <v>34</v>
      </c>
    </row>
    <row r="202" spans="1:6" x14ac:dyDescent="0.25">
      <c r="A202" t="s">
        <v>7</v>
      </c>
      <c r="B202" t="s">
        <v>16</v>
      </c>
      <c r="C202" t="s">
        <v>22</v>
      </c>
      <c r="D202">
        <v>4069</v>
      </c>
      <c r="E202">
        <v>6768</v>
      </c>
      <c r="F202" t="s">
        <v>33</v>
      </c>
    </row>
    <row r="203" spans="1:6" x14ac:dyDescent="0.25">
      <c r="A203" t="s">
        <v>12</v>
      </c>
      <c r="B203" t="s">
        <v>15</v>
      </c>
      <c r="C203" t="s">
        <v>23</v>
      </c>
      <c r="D203">
        <v>9969</v>
      </c>
      <c r="E203">
        <v>4144</v>
      </c>
      <c r="F203" t="s">
        <v>33</v>
      </c>
    </row>
    <row r="204" spans="1:6" x14ac:dyDescent="0.25">
      <c r="A204" t="s">
        <v>10</v>
      </c>
      <c r="B204" t="s">
        <v>16</v>
      </c>
      <c r="C204" t="s">
        <v>29</v>
      </c>
      <c r="D204">
        <v>8571</v>
      </c>
      <c r="E204">
        <v>4484</v>
      </c>
      <c r="F204" t="s">
        <v>35</v>
      </c>
    </row>
    <row r="205" spans="1:6" x14ac:dyDescent="0.25">
      <c r="A205" t="s">
        <v>6</v>
      </c>
      <c r="B205" t="s">
        <v>16</v>
      </c>
      <c r="C205" t="s">
        <v>22</v>
      </c>
      <c r="D205">
        <v>2317</v>
      </c>
      <c r="E205">
        <v>3315</v>
      </c>
      <c r="F205" t="s">
        <v>32</v>
      </c>
    </row>
    <row r="206" spans="1:6" x14ac:dyDescent="0.25">
      <c r="A206" t="s">
        <v>9</v>
      </c>
      <c r="B206" t="s">
        <v>15</v>
      </c>
      <c r="C206" t="s">
        <v>31</v>
      </c>
      <c r="D206">
        <v>6392</v>
      </c>
      <c r="E206">
        <v>4497</v>
      </c>
      <c r="F206" t="s">
        <v>35</v>
      </c>
    </row>
    <row r="207" spans="1:6" x14ac:dyDescent="0.25">
      <c r="A207" t="s">
        <v>8</v>
      </c>
      <c r="B207" t="s">
        <v>13</v>
      </c>
      <c r="C207" t="s">
        <v>22</v>
      </c>
      <c r="D207">
        <v>4259</v>
      </c>
      <c r="E207">
        <v>7720</v>
      </c>
      <c r="F207" t="s">
        <v>32</v>
      </c>
    </row>
    <row r="208" spans="1:6" x14ac:dyDescent="0.25">
      <c r="A208" t="s">
        <v>12</v>
      </c>
      <c r="B208" t="s">
        <v>16</v>
      </c>
      <c r="C208" t="s">
        <v>23</v>
      </c>
      <c r="D208">
        <v>8774</v>
      </c>
      <c r="E208">
        <v>2623</v>
      </c>
    </row>
    <row r="209" spans="1:6" x14ac:dyDescent="0.25">
      <c r="A209" t="s">
        <v>7</v>
      </c>
      <c r="B209" t="s">
        <v>14</v>
      </c>
      <c r="C209" t="s">
        <v>21</v>
      </c>
      <c r="D209">
        <v>1581</v>
      </c>
      <c r="E209">
        <v>9313</v>
      </c>
    </row>
    <row r="210" spans="1:6" x14ac:dyDescent="0.25">
      <c r="A210" t="s">
        <v>11</v>
      </c>
      <c r="B210" t="s">
        <v>13</v>
      </c>
      <c r="C210" t="s">
        <v>25</v>
      </c>
      <c r="D210">
        <v>1411</v>
      </c>
      <c r="E210">
        <v>10859</v>
      </c>
      <c r="F210" t="s">
        <v>33</v>
      </c>
    </row>
    <row r="211" spans="1:6" x14ac:dyDescent="0.25">
      <c r="A211" t="s">
        <v>10</v>
      </c>
      <c r="B211" t="s">
        <v>18</v>
      </c>
      <c r="C211" t="s">
        <v>23</v>
      </c>
      <c r="D211">
        <v>2510</v>
      </c>
      <c r="E211">
        <v>829</v>
      </c>
      <c r="F211" t="s">
        <v>33</v>
      </c>
    </row>
    <row r="212" spans="1:6" x14ac:dyDescent="0.25">
      <c r="A212" t="s">
        <v>11</v>
      </c>
      <c r="B212" t="s">
        <v>19</v>
      </c>
      <c r="C212" t="s">
        <v>26</v>
      </c>
      <c r="D212">
        <v>3999</v>
      </c>
      <c r="E212">
        <v>5731</v>
      </c>
      <c r="F212" t="s">
        <v>32</v>
      </c>
    </row>
    <row r="213" spans="1:6" x14ac:dyDescent="0.25">
      <c r="A213" t="s">
        <v>10</v>
      </c>
      <c r="B213" t="s">
        <v>19</v>
      </c>
      <c r="C213" t="s">
        <v>30</v>
      </c>
      <c r="D213">
        <v>3437</v>
      </c>
      <c r="E213">
        <v>7101</v>
      </c>
      <c r="F213" t="s">
        <v>34</v>
      </c>
    </row>
    <row r="214" spans="1:6" x14ac:dyDescent="0.25">
      <c r="A214" t="s">
        <v>8</v>
      </c>
      <c r="B214" t="s">
        <v>17</v>
      </c>
      <c r="C214" t="s">
        <v>30</v>
      </c>
      <c r="D214">
        <v>2037</v>
      </c>
      <c r="E214">
        <v>5070</v>
      </c>
      <c r="F214" t="s">
        <v>35</v>
      </c>
    </row>
    <row r="215" spans="1:6" x14ac:dyDescent="0.25">
      <c r="A215" t="s">
        <v>11</v>
      </c>
      <c r="B215" t="s">
        <v>13</v>
      </c>
      <c r="C215" t="s">
        <v>27</v>
      </c>
      <c r="D215">
        <v>4731</v>
      </c>
      <c r="E215">
        <v>9374</v>
      </c>
      <c r="F215" t="s">
        <v>33</v>
      </c>
    </row>
    <row r="216" spans="1:6" x14ac:dyDescent="0.25">
      <c r="A216" t="s">
        <v>7</v>
      </c>
      <c r="B216" t="s">
        <v>18</v>
      </c>
      <c r="C216" t="s">
        <v>21</v>
      </c>
      <c r="D216">
        <v>4308</v>
      </c>
      <c r="E216">
        <v>10473</v>
      </c>
      <c r="F216" t="s">
        <v>35</v>
      </c>
    </row>
    <row r="217" spans="1:6" x14ac:dyDescent="0.25">
      <c r="A217" t="s">
        <v>7</v>
      </c>
      <c r="B217" t="s">
        <v>13</v>
      </c>
      <c r="C217" t="s">
        <v>29</v>
      </c>
      <c r="D217">
        <v>4627</v>
      </c>
      <c r="E217">
        <v>4041</v>
      </c>
      <c r="F217" t="s">
        <v>35</v>
      </c>
    </row>
    <row r="218" spans="1:6" x14ac:dyDescent="0.25">
      <c r="A218" t="s">
        <v>12</v>
      </c>
      <c r="B218" t="s">
        <v>19</v>
      </c>
      <c r="C218" t="s">
        <v>31</v>
      </c>
      <c r="D218">
        <v>6862</v>
      </c>
      <c r="E218">
        <v>3032</v>
      </c>
      <c r="F218" t="s">
        <v>33</v>
      </c>
    </row>
    <row r="219" spans="1:6" x14ac:dyDescent="0.25">
      <c r="A219" t="s">
        <v>12</v>
      </c>
      <c r="B219" t="s">
        <v>18</v>
      </c>
      <c r="C219" t="s">
        <v>26</v>
      </c>
      <c r="D219">
        <v>7844</v>
      </c>
      <c r="E219">
        <v>4955</v>
      </c>
      <c r="F219" t="s">
        <v>35</v>
      </c>
    </row>
    <row r="220" spans="1:6" x14ac:dyDescent="0.25">
      <c r="A220" t="s">
        <v>9</v>
      </c>
      <c r="B220" t="s">
        <v>18</v>
      </c>
      <c r="C220" t="s">
        <v>23</v>
      </c>
      <c r="D220">
        <v>2516</v>
      </c>
      <c r="E220">
        <v>9990</v>
      </c>
      <c r="F220" t="s">
        <v>34</v>
      </c>
    </row>
    <row r="221" spans="1:6" x14ac:dyDescent="0.25">
      <c r="A221" t="s">
        <v>7</v>
      </c>
      <c r="B221" t="s">
        <v>16</v>
      </c>
      <c r="C221" t="s">
        <v>23</v>
      </c>
      <c r="D221">
        <v>1092</v>
      </c>
      <c r="E221">
        <v>6186</v>
      </c>
    </row>
    <row r="222" spans="1:6" x14ac:dyDescent="0.25">
      <c r="A222" t="s">
        <v>8</v>
      </c>
      <c r="B222" t="s">
        <v>19</v>
      </c>
      <c r="C222" t="s">
        <v>31</v>
      </c>
      <c r="D222">
        <v>8416</v>
      </c>
      <c r="E222">
        <v>2902</v>
      </c>
    </row>
    <row r="223" spans="1:6" x14ac:dyDescent="0.25">
      <c r="A223" t="s">
        <v>10</v>
      </c>
      <c r="B223" t="s">
        <v>13</v>
      </c>
      <c r="C223" t="s">
        <v>27</v>
      </c>
      <c r="D223">
        <v>2566</v>
      </c>
      <c r="E223">
        <v>10511</v>
      </c>
    </row>
    <row r="224" spans="1:6" x14ac:dyDescent="0.25">
      <c r="A224" t="s">
        <v>10</v>
      </c>
      <c r="B224" t="s">
        <v>18</v>
      </c>
      <c r="C224" t="s">
        <v>28</v>
      </c>
      <c r="D224">
        <v>2370</v>
      </c>
      <c r="E224">
        <v>4561</v>
      </c>
    </row>
    <row r="225" spans="1:6" x14ac:dyDescent="0.25">
      <c r="A225" t="s">
        <v>7</v>
      </c>
      <c r="B225" t="s">
        <v>14</v>
      </c>
      <c r="C225" t="s">
        <v>22</v>
      </c>
      <c r="D225">
        <v>3482</v>
      </c>
      <c r="E225">
        <v>11562</v>
      </c>
      <c r="F225" t="s">
        <v>34</v>
      </c>
    </row>
    <row r="226" spans="1:6" x14ac:dyDescent="0.25">
      <c r="A226" t="s">
        <v>7</v>
      </c>
      <c r="B226" t="s">
        <v>18</v>
      </c>
      <c r="C226" t="s">
        <v>23</v>
      </c>
      <c r="D226">
        <v>3696</v>
      </c>
      <c r="E226">
        <v>6289</v>
      </c>
      <c r="F226" t="s">
        <v>33</v>
      </c>
    </row>
    <row r="227" spans="1:6" x14ac:dyDescent="0.25">
      <c r="A227" t="s">
        <v>8</v>
      </c>
      <c r="B227" t="s">
        <v>17</v>
      </c>
      <c r="C227" t="s">
        <v>29</v>
      </c>
      <c r="D227">
        <v>3146</v>
      </c>
      <c r="E227">
        <v>8730</v>
      </c>
      <c r="F227" t="s">
        <v>35</v>
      </c>
    </row>
    <row r="228" spans="1:6" x14ac:dyDescent="0.25">
      <c r="A228" t="s">
        <v>7</v>
      </c>
      <c r="B228" t="s">
        <v>18</v>
      </c>
      <c r="C228" t="s">
        <v>25</v>
      </c>
      <c r="D228">
        <v>5311</v>
      </c>
      <c r="E228">
        <v>5567</v>
      </c>
      <c r="F228" t="s">
        <v>34</v>
      </c>
    </row>
    <row r="229" spans="1:6" x14ac:dyDescent="0.25">
      <c r="A229" t="s">
        <v>12</v>
      </c>
      <c r="B229" t="s">
        <v>19</v>
      </c>
      <c r="C229" t="s">
        <v>30</v>
      </c>
      <c r="D229">
        <v>6783</v>
      </c>
      <c r="E229">
        <v>2722</v>
      </c>
      <c r="F229" t="s">
        <v>34</v>
      </c>
    </row>
    <row r="230" spans="1:6" x14ac:dyDescent="0.25">
      <c r="A230" t="s">
        <v>9</v>
      </c>
      <c r="B230" t="s">
        <v>14</v>
      </c>
      <c r="C230" t="s">
        <v>25</v>
      </c>
      <c r="D230">
        <v>3051</v>
      </c>
      <c r="E230">
        <v>4973</v>
      </c>
      <c r="F230" t="s">
        <v>33</v>
      </c>
    </row>
    <row r="231" spans="1:6" x14ac:dyDescent="0.25">
      <c r="A231" t="s">
        <v>11</v>
      </c>
      <c r="B231" t="s">
        <v>19</v>
      </c>
      <c r="C231" t="s">
        <v>23</v>
      </c>
      <c r="D231">
        <v>7063</v>
      </c>
      <c r="E231">
        <v>11541</v>
      </c>
      <c r="F231" t="s">
        <v>33</v>
      </c>
    </row>
    <row r="232" spans="1:6" x14ac:dyDescent="0.25">
      <c r="A232" t="s">
        <v>10</v>
      </c>
      <c r="B232" t="s">
        <v>17</v>
      </c>
      <c r="C232" t="s">
        <v>27</v>
      </c>
      <c r="D232">
        <v>1725</v>
      </c>
      <c r="E232">
        <v>6868</v>
      </c>
    </row>
    <row r="233" spans="1:6" x14ac:dyDescent="0.25">
      <c r="A233" t="s">
        <v>12</v>
      </c>
      <c r="B233" t="s">
        <v>14</v>
      </c>
      <c r="C233" t="s">
        <v>28</v>
      </c>
      <c r="D233">
        <v>5794</v>
      </c>
      <c r="E233">
        <v>11277</v>
      </c>
      <c r="F233" t="s">
        <v>34</v>
      </c>
    </row>
    <row r="234" spans="1:6" x14ac:dyDescent="0.25">
      <c r="A234" t="s">
        <v>11</v>
      </c>
      <c r="B234" t="s">
        <v>15</v>
      </c>
      <c r="C234" t="s">
        <v>28</v>
      </c>
      <c r="D234">
        <v>9028</v>
      </c>
      <c r="E234">
        <v>7225</v>
      </c>
      <c r="F234" t="s">
        <v>33</v>
      </c>
    </row>
    <row r="235" spans="1:6" x14ac:dyDescent="0.25">
      <c r="A235" t="s">
        <v>11</v>
      </c>
      <c r="B235" t="s">
        <v>16</v>
      </c>
      <c r="C235" t="s">
        <v>29</v>
      </c>
      <c r="D235">
        <v>3737</v>
      </c>
      <c r="E235">
        <v>11355</v>
      </c>
    </row>
    <row r="236" spans="1:6" x14ac:dyDescent="0.25">
      <c r="A236" t="s">
        <v>8</v>
      </c>
      <c r="B236" t="s">
        <v>16</v>
      </c>
      <c r="C236" t="s">
        <v>22</v>
      </c>
      <c r="D236">
        <v>8956</v>
      </c>
      <c r="E236">
        <v>4518</v>
      </c>
      <c r="F236" t="s">
        <v>32</v>
      </c>
    </row>
    <row r="237" spans="1:6" x14ac:dyDescent="0.25">
      <c r="A237" t="s">
        <v>6</v>
      </c>
      <c r="B237" t="s">
        <v>14</v>
      </c>
      <c r="C237" t="s">
        <v>21</v>
      </c>
      <c r="D237">
        <v>9697</v>
      </c>
      <c r="E237">
        <v>1217</v>
      </c>
    </row>
    <row r="238" spans="1:6" x14ac:dyDescent="0.25">
      <c r="A238" t="s">
        <v>11</v>
      </c>
      <c r="B238" t="s">
        <v>17</v>
      </c>
      <c r="C238" t="s">
        <v>27</v>
      </c>
      <c r="D238">
        <v>5137</v>
      </c>
      <c r="E238">
        <v>2621</v>
      </c>
      <c r="F238" t="s">
        <v>35</v>
      </c>
    </row>
    <row r="239" spans="1:6" x14ac:dyDescent="0.25">
      <c r="A239" t="s">
        <v>9</v>
      </c>
      <c r="B239" t="s">
        <v>17</v>
      </c>
      <c r="C239" t="s">
        <v>24</v>
      </c>
      <c r="D239">
        <v>5909</v>
      </c>
      <c r="E239">
        <v>1649</v>
      </c>
    </row>
    <row r="240" spans="1:6" x14ac:dyDescent="0.25">
      <c r="A240" t="s">
        <v>6</v>
      </c>
      <c r="B240" t="s">
        <v>15</v>
      </c>
      <c r="C240" t="s">
        <v>26</v>
      </c>
      <c r="D240">
        <v>4461</v>
      </c>
      <c r="E240">
        <v>4936</v>
      </c>
      <c r="F240" t="s">
        <v>35</v>
      </c>
    </row>
    <row r="241" spans="1:6" x14ac:dyDescent="0.25">
      <c r="A241" t="s">
        <v>10</v>
      </c>
      <c r="B241" t="s">
        <v>16</v>
      </c>
      <c r="C241" t="s">
        <v>26</v>
      </c>
      <c r="D241">
        <v>5403</v>
      </c>
      <c r="E241">
        <v>5025</v>
      </c>
      <c r="F241" t="s">
        <v>35</v>
      </c>
    </row>
    <row r="242" spans="1:6" x14ac:dyDescent="0.25">
      <c r="A242" t="s">
        <v>7</v>
      </c>
      <c r="B242" t="s">
        <v>17</v>
      </c>
      <c r="C242" t="s">
        <v>23</v>
      </c>
      <c r="D242">
        <v>4296</v>
      </c>
      <c r="E242">
        <v>8838</v>
      </c>
      <c r="F242" t="s">
        <v>34</v>
      </c>
    </row>
    <row r="243" spans="1:6" x14ac:dyDescent="0.25">
      <c r="A243" t="s">
        <v>6</v>
      </c>
      <c r="B243" t="s">
        <v>14</v>
      </c>
      <c r="C243" t="s">
        <v>30</v>
      </c>
      <c r="D243">
        <v>4887</v>
      </c>
      <c r="E243">
        <v>11039</v>
      </c>
      <c r="F243" t="s">
        <v>35</v>
      </c>
    </row>
    <row r="244" spans="1:6" x14ac:dyDescent="0.25">
      <c r="A244" t="s">
        <v>7</v>
      </c>
      <c r="B244" t="s">
        <v>15</v>
      </c>
      <c r="C244" t="s">
        <v>20</v>
      </c>
      <c r="D244">
        <v>7503</v>
      </c>
      <c r="E244">
        <v>7005</v>
      </c>
      <c r="F244" t="s">
        <v>32</v>
      </c>
    </row>
    <row r="245" spans="1:6" x14ac:dyDescent="0.25">
      <c r="A245" t="s">
        <v>6</v>
      </c>
      <c r="B245" t="s">
        <v>17</v>
      </c>
      <c r="C245" t="s">
        <v>28</v>
      </c>
      <c r="D245">
        <v>4565</v>
      </c>
      <c r="E245">
        <v>11868</v>
      </c>
      <c r="F245" t="s">
        <v>33</v>
      </c>
    </row>
    <row r="246" spans="1:6" x14ac:dyDescent="0.25">
      <c r="A246" t="s">
        <v>8</v>
      </c>
      <c r="B246" t="s">
        <v>18</v>
      </c>
      <c r="C246" t="s">
        <v>27</v>
      </c>
      <c r="D246">
        <v>7684</v>
      </c>
      <c r="E246">
        <v>8033</v>
      </c>
      <c r="F246" t="s">
        <v>33</v>
      </c>
    </row>
    <row r="247" spans="1:6" x14ac:dyDescent="0.25">
      <c r="A247" t="s">
        <v>9</v>
      </c>
      <c r="B247" t="s">
        <v>17</v>
      </c>
      <c r="C247" t="s">
        <v>21</v>
      </c>
      <c r="D247">
        <v>7222</v>
      </c>
      <c r="E247">
        <v>3132</v>
      </c>
      <c r="F247" t="s">
        <v>32</v>
      </c>
    </row>
    <row r="248" spans="1:6" x14ac:dyDescent="0.25">
      <c r="A248" t="s">
        <v>8</v>
      </c>
      <c r="B248" t="s">
        <v>14</v>
      </c>
      <c r="C248" t="s">
        <v>25</v>
      </c>
      <c r="D248">
        <v>4850</v>
      </c>
      <c r="E248">
        <v>10802</v>
      </c>
      <c r="F248" t="s">
        <v>32</v>
      </c>
    </row>
    <row r="249" spans="1:6" x14ac:dyDescent="0.25">
      <c r="A249" t="s">
        <v>11</v>
      </c>
      <c r="B249" t="s">
        <v>13</v>
      </c>
      <c r="C249" t="s">
        <v>30</v>
      </c>
      <c r="D249">
        <v>9903</v>
      </c>
      <c r="E249">
        <v>7267</v>
      </c>
    </row>
    <row r="250" spans="1:6" x14ac:dyDescent="0.25">
      <c r="A250" t="s">
        <v>6</v>
      </c>
      <c r="B250" t="s">
        <v>18</v>
      </c>
      <c r="C250" t="s">
        <v>26</v>
      </c>
      <c r="D250">
        <v>8977</v>
      </c>
      <c r="E250">
        <v>5891</v>
      </c>
      <c r="F250" t="s">
        <v>32</v>
      </c>
    </row>
    <row r="251" spans="1:6" x14ac:dyDescent="0.25">
      <c r="A251" t="s">
        <v>7</v>
      </c>
      <c r="B251" t="s">
        <v>15</v>
      </c>
      <c r="C251" t="s">
        <v>20</v>
      </c>
      <c r="D251">
        <v>5480</v>
      </c>
      <c r="E251">
        <v>6988</v>
      </c>
      <c r="F251" t="s">
        <v>35</v>
      </c>
    </row>
    <row r="252" spans="1:6" x14ac:dyDescent="0.25">
      <c r="A252" t="s">
        <v>10</v>
      </c>
      <c r="B252" t="s">
        <v>18</v>
      </c>
      <c r="C252" t="s">
        <v>22</v>
      </c>
      <c r="D252">
        <v>5162</v>
      </c>
      <c r="E252">
        <v>2896</v>
      </c>
      <c r="F252" t="s">
        <v>32</v>
      </c>
    </row>
    <row r="253" spans="1:6" x14ac:dyDescent="0.25">
      <c r="A253" t="s">
        <v>11</v>
      </c>
      <c r="B253" t="s">
        <v>15</v>
      </c>
      <c r="C253" t="s">
        <v>22</v>
      </c>
      <c r="D253">
        <v>1988</v>
      </c>
      <c r="E253">
        <v>2949</v>
      </c>
      <c r="F253" t="s">
        <v>34</v>
      </c>
    </row>
    <row r="254" spans="1:6" x14ac:dyDescent="0.25">
      <c r="A254" t="s">
        <v>6</v>
      </c>
      <c r="B254" t="s">
        <v>18</v>
      </c>
      <c r="C254" t="s">
        <v>26</v>
      </c>
      <c r="D254">
        <v>8505</v>
      </c>
      <c r="E254">
        <v>6328</v>
      </c>
      <c r="F254" t="s">
        <v>32</v>
      </c>
    </row>
    <row r="255" spans="1:6" x14ac:dyDescent="0.25">
      <c r="A255" t="s">
        <v>10</v>
      </c>
      <c r="B255" t="s">
        <v>13</v>
      </c>
      <c r="C255" t="s">
        <v>28</v>
      </c>
      <c r="D255">
        <v>8322</v>
      </c>
      <c r="E255">
        <v>3280</v>
      </c>
      <c r="F255" t="s">
        <v>33</v>
      </c>
    </row>
    <row r="256" spans="1:6" x14ac:dyDescent="0.25">
      <c r="A256" t="s">
        <v>10</v>
      </c>
      <c r="B256" t="s">
        <v>19</v>
      </c>
      <c r="C256" t="s">
        <v>20</v>
      </c>
      <c r="D256">
        <v>5889</v>
      </c>
      <c r="E256">
        <v>11407</v>
      </c>
      <c r="F256" t="s">
        <v>32</v>
      </c>
    </row>
    <row r="257" spans="1:6" x14ac:dyDescent="0.25">
      <c r="A257" t="s">
        <v>6</v>
      </c>
      <c r="B257" t="s">
        <v>14</v>
      </c>
      <c r="C257" t="s">
        <v>27</v>
      </c>
      <c r="D257">
        <v>3770</v>
      </c>
      <c r="E257">
        <v>2148</v>
      </c>
    </row>
    <row r="258" spans="1:6" x14ac:dyDescent="0.25">
      <c r="A258" t="s">
        <v>7</v>
      </c>
      <c r="B258" t="s">
        <v>17</v>
      </c>
      <c r="C258" t="s">
        <v>31</v>
      </c>
      <c r="D258">
        <v>5971</v>
      </c>
      <c r="E258">
        <v>9057</v>
      </c>
      <c r="F258" t="s">
        <v>32</v>
      </c>
    </row>
    <row r="259" spans="1:6" x14ac:dyDescent="0.25">
      <c r="A259" t="s">
        <v>8</v>
      </c>
      <c r="B259" t="s">
        <v>15</v>
      </c>
      <c r="C259" t="s">
        <v>25</v>
      </c>
      <c r="D259">
        <v>8040</v>
      </c>
      <c r="E259">
        <v>11687</v>
      </c>
      <c r="F259" t="s">
        <v>35</v>
      </c>
    </row>
    <row r="260" spans="1:6" x14ac:dyDescent="0.25">
      <c r="A260" t="s">
        <v>10</v>
      </c>
      <c r="B260" t="s">
        <v>15</v>
      </c>
      <c r="C260" t="s">
        <v>25</v>
      </c>
      <c r="D260">
        <v>6994</v>
      </c>
      <c r="E260">
        <v>1587</v>
      </c>
      <c r="F260" t="s">
        <v>35</v>
      </c>
    </row>
    <row r="261" spans="1:6" x14ac:dyDescent="0.25">
      <c r="A261" t="s">
        <v>11</v>
      </c>
      <c r="B261" t="s">
        <v>13</v>
      </c>
      <c r="C261" t="s">
        <v>22</v>
      </c>
      <c r="D261">
        <v>5914</v>
      </c>
      <c r="E261">
        <v>8379</v>
      </c>
      <c r="F261" t="s">
        <v>35</v>
      </c>
    </row>
    <row r="262" spans="1:6" x14ac:dyDescent="0.25">
      <c r="A262" t="s">
        <v>10</v>
      </c>
      <c r="B262" t="s">
        <v>16</v>
      </c>
      <c r="C262" t="s">
        <v>27</v>
      </c>
      <c r="D262">
        <v>3620</v>
      </c>
      <c r="E262">
        <v>3030</v>
      </c>
      <c r="F262" t="s">
        <v>32</v>
      </c>
    </row>
    <row r="263" spans="1:6" x14ac:dyDescent="0.25">
      <c r="A263" t="s">
        <v>9</v>
      </c>
      <c r="B263" t="s">
        <v>19</v>
      </c>
      <c r="C263" t="s">
        <v>30</v>
      </c>
      <c r="D263">
        <v>7143</v>
      </c>
      <c r="E263">
        <v>9689</v>
      </c>
      <c r="F263" t="s">
        <v>32</v>
      </c>
    </row>
    <row r="264" spans="1:6" x14ac:dyDescent="0.25">
      <c r="A264" t="s">
        <v>12</v>
      </c>
      <c r="B264" t="s">
        <v>16</v>
      </c>
      <c r="C264" t="s">
        <v>31</v>
      </c>
      <c r="D264">
        <v>9061</v>
      </c>
      <c r="E264">
        <v>2491</v>
      </c>
      <c r="F264" t="s">
        <v>34</v>
      </c>
    </row>
    <row r="265" spans="1:6" x14ac:dyDescent="0.25">
      <c r="A265" t="s">
        <v>12</v>
      </c>
      <c r="B265" t="s">
        <v>15</v>
      </c>
      <c r="C265" t="s">
        <v>29</v>
      </c>
      <c r="D265">
        <v>7272</v>
      </c>
      <c r="E265">
        <v>5363</v>
      </c>
      <c r="F265" t="s">
        <v>33</v>
      </c>
    </row>
    <row r="266" spans="1:6" x14ac:dyDescent="0.25">
      <c r="A266" t="s">
        <v>10</v>
      </c>
      <c r="B266" t="s">
        <v>16</v>
      </c>
      <c r="C266" t="s">
        <v>26</v>
      </c>
      <c r="D266">
        <v>1144</v>
      </c>
      <c r="E266">
        <v>1264</v>
      </c>
    </row>
    <row r="267" spans="1:6" x14ac:dyDescent="0.25">
      <c r="A267" t="s">
        <v>7</v>
      </c>
      <c r="B267" t="s">
        <v>16</v>
      </c>
      <c r="C267" t="s">
        <v>21</v>
      </c>
      <c r="D267">
        <v>1574</v>
      </c>
      <c r="E267">
        <v>5204</v>
      </c>
    </row>
    <row r="268" spans="1:6" x14ac:dyDescent="0.25">
      <c r="A268" t="s">
        <v>9</v>
      </c>
      <c r="B268" t="s">
        <v>13</v>
      </c>
      <c r="C268" t="s">
        <v>27</v>
      </c>
      <c r="D268">
        <v>2273</v>
      </c>
      <c r="E268">
        <v>9429</v>
      </c>
      <c r="F268" t="s">
        <v>32</v>
      </c>
    </row>
    <row r="269" spans="1:6" x14ac:dyDescent="0.25">
      <c r="A269" t="s">
        <v>11</v>
      </c>
      <c r="B269" t="s">
        <v>15</v>
      </c>
      <c r="C269" t="s">
        <v>20</v>
      </c>
      <c r="D269">
        <v>6168</v>
      </c>
      <c r="E269">
        <v>9646</v>
      </c>
      <c r="F269" t="s">
        <v>34</v>
      </c>
    </row>
    <row r="270" spans="1:6" x14ac:dyDescent="0.25">
      <c r="A270" t="s">
        <v>10</v>
      </c>
      <c r="B270" t="s">
        <v>14</v>
      </c>
      <c r="C270" t="s">
        <v>30</v>
      </c>
      <c r="D270">
        <v>4358</v>
      </c>
      <c r="E270">
        <v>8443</v>
      </c>
      <c r="F270" t="s">
        <v>34</v>
      </c>
    </row>
    <row r="271" spans="1:6" x14ac:dyDescent="0.25">
      <c r="A271" t="s">
        <v>10</v>
      </c>
      <c r="B271" t="s">
        <v>15</v>
      </c>
      <c r="C271" t="s">
        <v>29</v>
      </c>
      <c r="D271">
        <v>4347</v>
      </c>
      <c r="E271">
        <v>8891</v>
      </c>
      <c r="F271" t="s">
        <v>34</v>
      </c>
    </row>
    <row r="272" spans="1:6" x14ac:dyDescent="0.25">
      <c r="A272" t="s">
        <v>6</v>
      </c>
      <c r="B272" t="s">
        <v>18</v>
      </c>
      <c r="C272" t="s">
        <v>24</v>
      </c>
      <c r="D272">
        <v>7245</v>
      </c>
      <c r="E272">
        <v>3122</v>
      </c>
      <c r="F272" t="s">
        <v>32</v>
      </c>
    </row>
    <row r="273" spans="1:6" x14ac:dyDescent="0.25">
      <c r="A273" t="s">
        <v>12</v>
      </c>
      <c r="B273" t="s">
        <v>17</v>
      </c>
      <c r="C273" t="s">
        <v>29</v>
      </c>
      <c r="D273">
        <v>4638</v>
      </c>
      <c r="E273">
        <v>11229</v>
      </c>
    </row>
    <row r="274" spans="1:6" x14ac:dyDescent="0.25">
      <c r="A274" t="s">
        <v>6</v>
      </c>
      <c r="B274" t="s">
        <v>18</v>
      </c>
      <c r="C274" t="s">
        <v>27</v>
      </c>
      <c r="D274">
        <v>9234</v>
      </c>
      <c r="E274">
        <v>1271</v>
      </c>
      <c r="F274" t="s">
        <v>34</v>
      </c>
    </row>
    <row r="275" spans="1:6" x14ac:dyDescent="0.25">
      <c r="A275" t="s">
        <v>9</v>
      </c>
      <c r="B275" t="s">
        <v>18</v>
      </c>
      <c r="C275" t="s">
        <v>30</v>
      </c>
      <c r="D275">
        <v>5092</v>
      </c>
      <c r="E275">
        <v>6390</v>
      </c>
      <c r="F275" t="s">
        <v>34</v>
      </c>
    </row>
    <row r="276" spans="1:6" x14ac:dyDescent="0.25">
      <c r="A276" t="s">
        <v>12</v>
      </c>
      <c r="B276" t="s">
        <v>15</v>
      </c>
      <c r="C276" t="s">
        <v>31</v>
      </c>
      <c r="D276">
        <v>2595</v>
      </c>
      <c r="E276">
        <v>8706</v>
      </c>
      <c r="F276" t="s">
        <v>32</v>
      </c>
    </row>
    <row r="277" spans="1:6" x14ac:dyDescent="0.25">
      <c r="A277" t="s">
        <v>7</v>
      </c>
      <c r="B277" t="s">
        <v>19</v>
      </c>
      <c r="C277" t="s">
        <v>29</v>
      </c>
      <c r="D277">
        <v>4919</v>
      </c>
      <c r="E277">
        <v>9472</v>
      </c>
    </row>
    <row r="278" spans="1:6" x14ac:dyDescent="0.25">
      <c r="A278" t="s">
        <v>12</v>
      </c>
      <c r="B278" t="s">
        <v>16</v>
      </c>
      <c r="C278" t="s">
        <v>28</v>
      </c>
      <c r="D278">
        <v>8499</v>
      </c>
      <c r="E278">
        <v>807</v>
      </c>
      <c r="F278" t="s">
        <v>33</v>
      </c>
    </row>
    <row r="279" spans="1:6" x14ac:dyDescent="0.25">
      <c r="A279" t="s">
        <v>8</v>
      </c>
      <c r="B279" t="s">
        <v>14</v>
      </c>
      <c r="C279" t="s">
        <v>23</v>
      </c>
      <c r="D279">
        <v>5447</v>
      </c>
      <c r="E279">
        <v>843</v>
      </c>
      <c r="F279" t="s">
        <v>33</v>
      </c>
    </row>
    <row r="280" spans="1:6" x14ac:dyDescent="0.25">
      <c r="A280" t="s">
        <v>11</v>
      </c>
      <c r="B280" t="s">
        <v>13</v>
      </c>
      <c r="C280" t="s">
        <v>30</v>
      </c>
      <c r="D280">
        <v>7438</v>
      </c>
      <c r="E280">
        <v>1853</v>
      </c>
      <c r="F280" t="s">
        <v>35</v>
      </c>
    </row>
    <row r="281" spans="1:6" x14ac:dyDescent="0.25">
      <c r="A281" t="s">
        <v>6</v>
      </c>
      <c r="B281" t="s">
        <v>19</v>
      </c>
      <c r="C281" t="s">
        <v>20</v>
      </c>
      <c r="D281">
        <v>7425</v>
      </c>
      <c r="E281">
        <v>5535</v>
      </c>
    </row>
    <row r="282" spans="1:6" x14ac:dyDescent="0.25">
      <c r="A282" t="s">
        <v>10</v>
      </c>
      <c r="B282" t="s">
        <v>13</v>
      </c>
      <c r="C282" t="s">
        <v>31</v>
      </c>
      <c r="D282">
        <v>2187</v>
      </c>
      <c r="E282">
        <v>2127</v>
      </c>
      <c r="F282" t="s">
        <v>34</v>
      </c>
    </row>
    <row r="283" spans="1:6" x14ac:dyDescent="0.25">
      <c r="A283" t="s">
        <v>6</v>
      </c>
      <c r="B283" t="s">
        <v>19</v>
      </c>
      <c r="C283" t="s">
        <v>21</v>
      </c>
      <c r="D283">
        <v>7166</v>
      </c>
      <c r="E283">
        <v>3434</v>
      </c>
      <c r="F283" t="s">
        <v>32</v>
      </c>
    </row>
    <row r="284" spans="1:6" x14ac:dyDescent="0.25">
      <c r="A284" t="s">
        <v>11</v>
      </c>
      <c r="B284" t="s">
        <v>19</v>
      </c>
      <c r="C284" t="s">
        <v>26</v>
      </c>
      <c r="D284">
        <v>4089</v>
      </c>
      <c r="E284">
        <v>7698</v>
      </c>
      <c r="F284" t="s">
        <v>35</v>
      </c>
    </row>
    <row r="285" spans="1:6" x14ac:dyDescent="0.25">
      <c r="A285" t="s">
        <v>11</v>
      </c>
      <c r="B285" t="s">
        <v>13</v>
      </c>
      <c r="C285" t="s">
        <v>27</v>
      </c>
      <c r="D285">
        <v>6958</v>
      </c>
      <c r="E285">
        <v>5651</v>
      </c>
      <c r="F285" t="s">
        <v>33</v>
      </c>
    </row>
    <row r="286" spans="1:6" x14ac:dyDescent="0.25">
      <c r="A286" t="s">
        <v>10</v>
      </c>
      <c r="B286" t="s">
        <v>13</v>
      </c>
      <c r="C286" t="s">
        <v>20</v>
      </c>
      <c r="D286">
        <v>4206</v>
      </c>
      <c r="E286">
        <v>2616</v>
      </c>
    </row>
    <row r="287" spans="1:6" x14ac:dyDescent="0.25">
      <c r="A287" t="s">
        <v>8</v>
      </c>
      <c r="B287" t="s">
        <v>18</v>
      </c>
      <c r="C287" t="s">
        <v>28</v>
      </c>
      <c r="D287">
        <v>7470</v>
      </c>
      <c r="E287">
        <v>10266</v>
      </c>
      <c r="F287" t="s">
        <v>32</v>
      </c>
    </row>
    <row r="288" spans="1:6" x14ac:dyDescent="0.25">
      <c r="A288" t="s">
        <v>8</v>
      </c>
      <c r="B288" t="s">
        <v>15</v>
      </c>
      <c r="C288" t="s">
        <v>24</v>
      </c>
      <c r="D288">
        <v>3486</v>
      </c>
      <c r="E288">
        <v>9246</v>
      </c>
      <c r="F288" t="s">
        <v>34</v>
      </c>
    </row>
    <row r="289" spans="1:6" x14ac:dyDescent="0.25">
      <c r="A289" t="s">
        <v>8</v>
      </c>
      <c r="B289" t="s">
        <v>13</v>
      </c>
      <c r="C289" t="s">
        <v>25</v>
      </c>
      <c r="D289">
        <v>3380</v>
      </c>
      <c r="E289">
        <v>6856</v>
      </c>
      <c r="F289" t="s">
        <v>32</v>
      </c>
    </row>
    <row r="290" spans="1:6" x14ac:dyDescent="0.25">
      <c r="A290" t="s">
        <v>12</v>
      </c>
      <c r="B290" t="s">
        <v>16</v>
      </c>
      <c r="C290" t="s">
        <v>22</v>
      </c>
      <c r="D290">
        <v>7076</v>
      </c>
      <c r="E290">
        <v>2450</v>
      </c>
      <c r="F290" t="s">
        <v>34</v>
      </c>
    </row>
    <row r="291" spans="1:6" x14ac:dyDescent="0.25">
      <c r="A291" t="s">
        <v>9</v>
      </c>
      <c r="B291" t="s">
        <v>14</v>
      </c>
      <c r="C291" t="s">
        <v>22</v>
      </c>
      <c r="D291">
        <v>7142</v>
      </c>
      <c r="E291">
        <v>6782</v>
      </c>
      <c r="F291" t="s">
        <v>35</v>
      </c>
    </row>
    <row r="292" spans="1:6" x14ac:dyDescent="0.25">
      <c r="A292" t="s">
        <v>7</v>
      </c>
      <c r="B292" t="s">
        <v>16</v>
      </c>
      <c r="C292" t="s">
        <v>27</v>
      </c>
      <c r="D292">
        <v>4696</v>
      </c>
      <c r="E292">
        <v>7403</v>
      </c>
      <c r="F292" t="s">
        <v>33</v>
      </c>
    </row>
    <row r="293" spans="1:6" x14ac:dyDescent="0.25">
      <c r="A293" t="s">
        <v>12</v>
      </c>
      <c r="B293" t="s">
        <v>14</v>
      </c>
      <c r="C293" t="s">
        <v>30</v>
      </c>
      <c r="D293">
        <v>1982</v>
      </c>
      <c r="E293">
        <v>4862</v>
      </c>
      <c r="F293" t="s">
        <v>34</v>
      </c>
    </row>
    <row r="294" spans="1:6" x14ac:dyDescent="0.25">
      <c r="A294" t="s">
        <v>10</v>
      </c>
      <c r="B294" t="s">
        <v>15</v>
      </c>
      <c r="C294" t="s">
        <v>20</v>
      </c>
      <c r="D294">
        <v>9021</v>
      </c>
      <c r="E294">
        <v>8953</v>
      </c>
      <c r="F294" t="s">
        <v>35</v>
      </c>
    </row>
    <row r="295" spans="1:6" x14ac:dyDescent="0.25">
      <c r="A295" t="s">
        <v>9</v>
      </c>
      <c r="B295" t="s">
        <v>15</v>
      </c>
      <c r="C295" t="s">
        <v>20</v>
      </c>
      <c r="D295">
        <v>9394</v>
      </c>
      <c r="E295">
        <v>3904</v>
      </c>
      <c r="F295" t="s">
        <v>32</v>
      </c>
    </row>
    <row r="296" spans="1:6" x14ac:dyDescent="0.25">
      <c r="A296" t="s">
        <v>7</v>
      </c>
      <c r="B296" t="s">
        <v>15</v>
      </c>
      <c r="C296" t="s">
        <v>20</v>
      </c>
      <c r="D296">
        <v>5689</v>
      </c>
      <c r="E296">
        <v>5491</v>
      </c>
      <c r="F296" t="s">
        <v>33</v>
      </c>
    </row>
    <row r="297" spans="1:6" x14ac:dyDescent="0.25">
      <c r="A297" t="s">
        <v>11</v>
      </c>
      <c r="B297" t="s">
        <v>13</v>
      </c>
      <c r="C297" t="s">
        <v>23</v>
      </c>
      <c r="D297">
        <v>9149</v>
      </c>
      <c r="E297">
        <v>6484</v>
      </c>
    </row>
    <row r="298" spans="1:6" x14ac:dyDescent="0.25">
      <c r="A298" t="s">
        <v>10</v>
      </c>
      <c r="B298" t="s">
        <v>13</v>
      </c>
      <c r="C298" t="s">
        <v>23</v>
      </c>
      <c r="D298">
        <v>3361</v>
      </c>
      <c r="E298">
        <v>8670</v>
      </c>
      <c r="F298" t="s">
        <v>34</v>
      </c>
    </row>
    <row r="299" spans="1:6" x14ac:dyDescent="0.25">
      <c r="A299" t="s">
        <v>7</v>
      </c>
      <c r="B299" t="s">
        <v>15</v>
      </c>
      <c r="C299" t="s">
        <v>22</v>
      </c>
      <c r="D299">
        <v>5020</v>
      </c>
      <c r="E299">
        <v>1318</v>
      </c>
    </row>
    <row r="300" spans="1:6" x14ac:dyDescent="0.25">
      <c r="A300" t="s">
        <v>9</v>
      </c>
      <c r="B300" t="s">
        <v>19</v>
      </c>
      <c r="C300" t="s">
        <v>21</v>
      </c>
      <c r="D300">
        <v>1954</v>
      </c>
      <c r="E300">
        <v>11251</v>
      </c>
      <c r="F300" t="s">
        <v>32</v>
      </c>
    </row>
    <row r="301" spans="1:6" x14ac:dyDescent="0.25">
      <c r="A301" t="s">
        <v>9</v>
      </c>
      <c r="B301" t="s">
        <v>19</v>
      </c>
      <c r="C301" t="s">
        <v>25</v>
      </c>
      <c r="D301">
        <v>6913</v>
      </c>
      <c r="E301">
        <v>3025</v>
      </c>
      <c r="F301" t="s">
        <v>33</v>
      </c>
    </row>
    <row r="302" spans="1:6" x14ac:dyDescent="0.25">
      <c r="A302" t="s">
        <v>6</v>
      </c>
      <c r="B302" t="s">
        <v>14</v>
      </c>
      <c r="C302" t="s">
        <v>21</v>
      </c>
      <c r="D302">
        <v>6517</v>
      </c>
      <c r="E302">
        <v>11194</v>
      </c>
      <c r="F302" t="s">
        <v>32</v>
      </c>
    </row>
    <row r="303" spans="1:6" x14ac:dyDescent="0.25">
      <c r="A303" t="s">
        <v>8</v>
      </c>
      <c r="B303" t="s">
        <v>15</v>
      </c>
      <c r="C303" t="s">
        <v>23</v>
      </c>
      <c r="D303">
        <v>1265</v>
      </c>
      <c r="E303">
        <v>6688</v>
      </c>
      <c r="F303" t="s">
        <v>33</v>
      </c>
    </row>
    <row r="304" spans="1:6" x14ac:dyDescent="0.25">
      <c r="A304" t="s">
        <v>12</v>
      </c>
      <c r="B304" t="s">
        <v>16</v>
      </c>
      <c r="C304" t="s">
        <v>29</v>
      </c>
      <c r="D304">
        <v>8440</v>
      </c>
      <c r="E304">
        <v>1391</v>
      </c>
      <c r="F304" t="s">
        <v>34</v>
      </c>
    </row>
    <row r="305" spans="1:6" x14ac:dyDescent="0.25">
      <c r="A305" t="s">
        <v>9</v>
      </c>
      <c r="B305" t="s">
        <v>15</v>
      </c>
      <c r="C305" t="s">
        <v>29</v>
      </c>
      <c r="D305">
        <v>4695</v>
      </c>
      <c r="E305">
        <v>5418</v>
      </c>
      <c r="F305" t="s">
        <v>34</v>
      </c>
    </row>
    <row r="306" spans="1:6" x14ac:dyDescent="0.25">
      <c r="A306" t="s">
        <v>7</v>
      </c>
      <c r="B306" t="s">
        <v>18</v>
      </c>
      <c r="C306" t="s">
        <v>20</v>
      </c>
      <c r="D306">
        <v>1201</v>
      </c>
      <c r="E306">
        <v>10293</v>
      </c>
      <c r="F306" t="s">
        <v>35</v>
      </c>
    </row>
    <row r="307" spans="1:6" x14ac:dyDescent="0.25">
      <c r="A307" t="s">
        <v>12</v>
      </c>
      <c r="B307" t="s">
        <v>19</v>
      </c>
      <c r="C307" t="s">
        <v>30</v>
      </c>
      <c r="D307">
        <v>6342</v>
      </c>
      <c r="E307">
        <v>8292</v>
      </c>
      <c r="F307" t="s">
        <v>34</v>
      </c>
    </row>
    <row r="308" spans="1:6" x14ac:dyDescent="0.25">
      <c r="A308" t="s">
        <v>8</v>
      </c>
      <c r="B308" t="s">
        <v>16</v>
      </c>
      <c r="C308" t="s">
        <v>28</v>
      </c>
      <c r="D308">
        <v>2290</v>
      </c>
      <c r="E308">
        <v>5281</v>
      </c>
    </row>
    <row r="309" spans="1:6" x14ac:dyDescent="0.25">
      <c r="A309" t="s">
        <v>8</v>
      </c>
      <c r="B309" t="s">
        <v>13</v>
      </c>
      <c r="C309" t="s">
        <v>28</v>
      </c>
      <c r="D309">
        <v>2009</v>
      </c>
      <c r="E309">
        <v>2316</v>
      </c>
      <c r="F309" t="s">
        <v>32</v>
      </c>
    </row>
    <row r="310" spans="1:6" x14ac:dyDescent="0.25">
      <c r="A310" t="s">
        <v>6</v>
      </c>
      <c r="B310" t="s">
        <v>14</v>
      </c>
      <c r="C310" t="s">
        <v>25</v>
      </c>
      <c r="D310">
        <v>1128</v>
      </c>
      <c r="E310">
        <v>8014</v>
      </c>
      <c r="F310" t="s">
        <v>33</v>
      </c>
    </row>
    <row r="311" spans="1:6" x14ac:dyDescent="0.25">
      <c r="A311" t="s">
        <v>9</v>
      </c>
      <c r="B311" t="s">
        <v>19</v>
      </c>
      <c r="C311" t="s">
        <v>24</v>
      </c>
      <c r="D311">
        <v>6923</v>
      </c>
      <c r="E311">
        <v>11530</v>
      </c>
      <c r="F311" t="s">
        <v>33</v>
      </c>
    </row>
    <row r="312" spans="1:6" x14ac:dyDescent="0.25">
      <c r="A312" t="s">
        <v>6</v>
      </c>
      <c r="B312" t="s">
        <v>13</v>
      </c>
      <c r="C312" t="s">
        <v>23</v>
      </c>
      <c r="D312">
        <v>5022</v>
      </c>
      <c r="E312">
        <v>4266</v>
      </c>
      <c r="F312" t="s">
        <v>35</v>
      </c>
    </row>
    <row r="313" spans="1:6" x14ac:dyDescent="0.25">
      <c r="A313" t="s">
        <v>10</v>
      </c>
      <c r="B313" t="s">
        <v>15</v>
      </c>
      <c r="C313" t="s">
        <v>23</v>
      </c>
      <c r="D313">
        <v>6466</v>
      </c>
      <c r="E313">
        <v>3570</v>
      </c>
      <c r="F313" t="s">
        <v>33</v>
      </c>
    </row>
    <row r="314" spans="1:6" x14ac:dyDescent="0.25">
      <c r="A314" t="s">
        <v>7</v>
      </c>
      <c r="B314" t="s">
        <v>17</v>
      </c>
      <c r="C314" t="s">
        <v>29</v>
      </c>
      <c r="D314">
        <v>4810</v>
      </c>
      <c r="E314">
        <v>5459</v>
      </c>
      <c r="F314" t="s">
        <v>33</v>
      </c>
    </row>
    <row r="315" spans="1:6" x14ac:dyDescent="0.25">
      <c r="A315" t="s">
        <v>11</v>
      </c>
      <c r="B315" t="s">
        <v>15</v>
      </c>
      <c r="C315" t="s">
        <v>25</v>
      </c>
      <c r="D315">
        <v>7504</v>
      </c>
      <c r="E315">
        <v>1754</v>
      </c>
      <c r="F315" t="s">
        <v>35</v>
      </c>
    </row>
    <row r="316" spans="1:6" x14ac:dyDescent="0.25">
      <c r="A316" t="s">
        <v>11</v>
      </c>
      <c r="B316" t="s">
        <v>19</v>
      </c>
      <c r="C316" t="s">
        <v>27</v>
      </c>
      <c r="D316">
        <v>5453</v>
      </c>
      <c r="E316">
        <v>10878</v>
      </c>
      <c r="F316" t="s">
        <v>34</v>
      </c>
    </row>
    <row r="317" spans="1:6" x14ac:dyDescent="0.25">
      <c r="A317" t="s">
        <v>10</v>
      </c>
      <c r="B317" t="s">
        <v>15</v>
      </c>
      <c r="C317" t="s">
        <v>29</v>
      </c>
      <c r="D317">
        <v>5260</v>
      </c>
      <c r="E317">
        <v>6088</v>
      </c>
      <c r="F317" t="s">
        <v>34</v>
      </c>
    </row>
    <row r="318" spans="1:6" x14ac:dyDescent="0.25">
      <c r="A318" t="s">
        <v>6</v>
      </c>
      <c r="B318" t="s">
        <v>13</v>
      </c>
      <c r="C318" t="s">
        <v>22</v>
      </c>
      <c r="D318">
        <v>2631</v>
      </c>
      <c r="E318">
        <v>2807</v>
      </c>
    </row>
    <row r="319" spans="1:6" x14ac:dyDescent="0.25">
      <c r="A319" t="s">
        <v>9</v>
      </c>
      <c r="B319" t="s">
        <v>15</v>
      </c>
      <c r="C319" t="s">
        <v>24</v>
      </c>
      <c r="D319">
        <v>9503</v>
      </c>
      <c r="E319">
        <v>9241</v>
      </c>
      <c r="F319" t="s">
        <v>35</v>
      </c>
    </row>
    <row r="320" spans="1:6" x14ac:dyDescent="0.25">
      <c r="A320" t="s">
        <v>7</v>
      </c>
      <c r="B320" t="s">
        <v>17</v>
      </c>
      <c r="C320" t="s">
        <v>20</v>
      </c>
      <c r="D320">
        <v>4136</v>
      </c>
      <c r="E320">
        <v>4621</v>
      </c>
      <c r="F320" t="s">
        <v>34</v>
      </c>
    </row>
    <row r="321" spans="1:6" x14ac:dyDescent="0.25">
      <c r="A321" t="s">
        <v>10</v>
      </c>
      <c r="B321" t="s">
        <v>14</v>
      </c>
      <c r="C321" t="s">
        <v>23</v>
      </c>
      <c r="D321">
        <v>2551</v>
      </c>
      <c r="E321">
        <v>1844</v>
      </c>
      <c r="F321" t="s">
        <v>32</v>
      </c>
    </row>
    <row r="322" spans="1:6" x14ac:dyDescent="0.25">
      <c r="A322" t="s">
        <v>6</v>
      </c>
      <c r="B322" t="s">
        <v>14</v>
      </c>
      <c r="C322" t="s">
        <v>23</v>
      </c>
      <c r="D322">
        <v>8398</v>
      </c>
      <c r="E322">
        <v>5952</v>
      </c>
      <c r="F322" t="s">
        <v>35</v>
      </c>
    </row>
    <row r="323" spans="1:6" x14ac:dyDescent="0.25">
      <c r="A323" t="s">
        <v>8</v>
      </c>
      <c r="B323" t="s">
        <v>19</v>
      </c>
      <c r="C323" t="s">
        <v>27</v>
      </c>
      <c r="D323">
        <v>2378</v>
      </c>
      <c r="E323">
        <v>6606</v>
      </c>
      <c r="F323" t="s">
        <v>32</v>
      </c>
    </row>
    <row r="324" spans="1:6" x14ac:dyDescent="0.25">
      <c r="A324" t="s">
        <v>7</v>
      </c>
      <c r="B324" t="s">
        <v>18</v>
      </c>
      <c r="C324" t="s">
        <v>24</v>
      </c>
      <c r="D324">
        <v>6800</v>
      </c>
      <c r="E324">
        <v>3201</v>
      </c>
      <c r="F324" t="s">
        <v>32</v>
      </c>
    </row>
    <row r="325" spans="1:6" x14ac:dyDescent="0.25">
      <c r="A325" t="s">
        <v>8</v>
      </c>
      <c r="B325" t="s">
        <v>16</v>
      </c>
      <c r="C325" t="s">
        <v>28</v>
      </c>
      <c r="D325">
        <v>6741</v>
      </c>
      <c r="E325">
        <v>9212</v>
      </c>
      <c r="F325" t="s">
        <v>34</v>
      </c>
    </row>
    <row r="326" spans="1:6" x14ac:dyDescent="0.25">
      <c r="A326" t="s">
        <v>10</v>
      </c>
      <c r="B326" t="s">
        <v>16</v>
      </c>
      <c r="C326" t="s">
        <v>27</v>
      </c>
      <c r="D326">
        <v>4869</v>
      </c>
      <c r="E326">
        <v>1795</v>
      </c>
      <c r="F326" t="s">
        <v>35</v>
      </c>
    </row>
    <row r="327" spans="1:6" x14ac:dyDescent="0.25">
      <c r="A327" t="s">
        <v>12</v>
      </c>
      <c r="B327" t="s">
        <v>13</v>
      </c>
      <c r="C327" t="s">
        <v>20</v>
      </c>
      <c r="D327">
        <v>7794</v>
      </c>
      <c r="E327">
        <v>10328</v>
      </c>
      <c r="F327" t="s">
        <v>32</v>
      </c>
    </row>
    <row r="328" spans="1:6" x14ac:dyDescent="0.25">
      <c r="A328" t="s">
        <v>11</v>
      </c>
      <c r="B328" t="s">
        <v>14</v>
      </c>
      <c r="C328" t="s">
        <v>24</v>
      </c>
      <c r="D328">
        <v>6725</v>
      </c>
      <c r="E328">
        <v>11686</v>
      </c>
      <c r="F328" t="s">
        <v>32</v>
      </c>
    </row>
    <row r="329" spans="1:6" x14ac:dyDescent="0.25">
      <c r="A329" t="s">
        <v>6</v>
      </c>
      <c r="B329" t="s">
        <v>16</v>
      </c>
      <c r="C329" t="s">
        <v>24</v>
      </c>
      <c r="D329">
        <v>7253</v>
      </c>
      <c r="E329">
        <v>5984</v>
      </c>
      <c r="F329" t="s">
        <v>32</v>
      </c>
    </row>
    <row r="330" spans="1:6" x14ac:dyDescent="0.25">
      <c r="A330" t="s">
        <v>6</v>
      </c>
      <c r="B330" t="s">
        <v>15</v>
      </c>
      <c r="C330" t="s">
        <v>20</v>
      </c>
      <c r="D330">
        <v>4402</v>
      </c>
      <c r="E330">
        <v>11794</v>
      </c>
      <c r="F330" t="s">
        <v>35</v>
      </c>
    </row>
    <row r="331" spans="1:6" x14ac:dyDescent="0.25">
      <c r="A331" t="s">
        <v>6</v>
      </c>
      <c r="B331" t="s">
        <v>19</v>
      </c>
      <c r="C331" t="s">
        <v>22</v>
      </c>
      <c r="D331">
        <v>5653</v>
      </c>
      <c r="E331">
        <v>11818</v>
      </c>
      <c r="F331" t="s">
        <v>32</v>
      </c>
    </row>
    <row r="332" spans="1:6" x14ac:dyDescent="0.25">
      <c r="A332" t="s">
        <v>6</v>
      </c>
      <c r="B332" t="s">
        <v>14</v>
      </c>
      <c r="C332" t="s">
        <v>30</v>
      </c>
      <c r="D332">
        <v>4482</v>
      </c>
      <c r="E332">
        <v>7588</v>
      </c>
      <c r="F332" t="s">
        <v>32</v>
      </c>
    </row>
    <row r="333" spans="1:6" x14ac:dyDescent="0.25">
      <c r="A333" t="s">
        <v>9</v>
      </c>
      <c r="B333" t="s">
        <v>16</v>
      </c>
      <c r="C333" t="s">
        <v>27</v>
      </c>
      <c r="D333">
        <v>7993</v>
      </c>
      <c r="E333">
        <v>10028</v>
      </c>
      <c r="F333" t="s">
        <v>32</v>
      </c>
    </row>
    <row r="334" spans="1:6" x14ac:dyDescent="0.25">
      <c r="A334" t="s">
        <v>7</v>
      </c>
      <c r="B334" t="s">
        <v>17</v>
      </c>
      <c r="C334" t="s">
        <v>26</v>
      </c>
      <c r="D334">
        <v>7143</v>
      </c>
      <c r="E334">
        <v>3972</v>
      </c>
      <c r="F334" t="s">
        <v>32</v>
      </c>
    </row>
    <row r="335" spans="1:6" x14ac:dyDescent="0.25">
      <c r="A335" t="s">
        <v>11</v>
      </c>
      <c r="B335" t="s">
        <v>19</v>
      </c>
      <c r="C335" t="s">
        <v>22</v>
      </c>
      <c r="D335">
        <v>7206</v>
      </c>
      <c r="E335">
        <v>1799</v>
      </c>
      <c r="F335" t="s">
        <v>34</v>
      </c>
    </row>
    <row r="336" spans="1:6" x14ac:dyDescent="0.25">
      <c r="A336" t="s">
        <v>10</v>
      </c>
      <c r="B336" t="s">
        <v>13</v>
      </c>
      <c r="C336" t="s">
        <v>20</v>
      </c>
      <c r="D336">
        <v>3716</v>
      </c>
      <c r="E336">
        <v>2980</v>
      </c>
      <c r="F336" t="s">
        <v>32</v>
      </c>
    </row>
    <row r="337" spans="1:6" x14ac:dyDescent="0.25">
      <c r="A337" t="s">
        <v>12</v>
      </c>
      <c r="B337" t="s">
        <v>14</v>
      </c>
      <c r="C337" t="s">
        <v>30</v>
      </c>
      <c r="D337">
        <v>1505</v>
      </c>
      <c r="E337">
        <v>9345</v>
      </c>
      <c r="F337" t="s">
        <v>35</v>
      </c>
    </row>
    <row r="338" spans="1:6" x14ac:dyDescent="0.25">
      <c r="A338" t="s">
        <v>11</v>
      </c>
      <c r="B338" t="s">
        <v>17</v>
      </c>
      <c r="C338" t="s">
        <v>22</v>
      </c>
      <c r="D338">
        <v>9273</v>
      </c>
      <c r="E338">
        <v>8479</v>
      </c>
      <c r="F338" t="s">
        <v>34</v>
      </c>
    </row>
    <row r="339" spans="1:6" x14ac:dyDescent="0.25">
      <c r="A339" t="s">
        <v>7</v>
      </c>
      <c r="B339" t="s">
        <v>17</v>
      </c>
      <c r="C339" t="s">
        <v>24</v>
      </c>
      <c r="D339">
        <v>4778</v>
      </c>
      <c r="E339">
        <v>4775</v>
      </c>
      <c r="F339" t="s">
        <v>33</v>
      </c>
    </row>
    <row r="340" spans="1:6" x14ac:dyDescent="0.25">
      <c r="A340" t="s">
        <v>8</v>
      </c>
      <c r="B340" t="s">
        <v>16</v>
      </c>
      <c r="C340" t="s">
        <v>29</v>
      </c>
      <c r="D340">
        <v>7568</v>
      </c>
      <c r="E340">
        <v>10284</v>
      </c>
      <c r="F340" t="s">
        <v>32</v>
      </c>
    </row>
    <row r="341" spans="1:6" x14ac:dyDescent="0.25">
      <c r="A341" t="s">
        <v>11</v>
      </c>
      <c r="B341" t="s">
        <v>14</v>
      </c>
      <c r="C341" t="s">
        <v>22</v>
      </c>
      <c r="D341">
        <v>2025</v>
      </c>
      <c r="E341">
        <v>2472</v>
      </c>
      <c r="F341" t="s">
        <v>35</v>
      </c>
    </row>
    <row r="342" spans="1:6" x14ac:dyDescent="0.25">
      <c r="A342" t="s">
        <v>12</v>
      </c>
      <c r="B342" t="s">
        <v>19</v>
      </c>
      <c r="C342" t="s">
        <v>22</v>
      </c>
      <c r="D342">
        <v>2779</v>
      </c>
      <c r="E342">
        <v>10511</v>
      </c>
      <c r="F342" t="s">
        <v>33</v>
      </c>
    </row>
    <row r="343" spans="1:6" x14ac:dyDescent="0.25">
      <c r="A343" t="s">
        <v>12</v>
      </c>
      <c r="B343" t="s">
        <v>15</v>
      </c>
      <c r="C343" t="s">
        <v>27</v>
      </c>
      <c r="D343">
        <v>3275</v>
      </c>
      <c r="E343">
        <v>4780</v>
      </c>
      <c r="F343" t="s">
        <v>34</v>
      </c>
    </row>
    <row r="344" spans="1:6" x14ac:dyDescent="0.25">
      <c r="A344" t="s">
        <v>12</v>
      </c>
      <c r="B344" t="s">
        <v>18</v>
      </c>
      <c r="C344" t="s">
        <v>29</v>
      </c>
      <c r="D344">
        <v>8907</v>
      </c>
      <c r="E344">
        <v>9356</v>
      </c>
      <c r="F344" t="s">
        <v>33</v>
      </c>
    </row>
    <row r="345" spans="1:6" x14ac:dyDescent="0.25">
      <c r="A345" t="s">
        <v>8</v>
      </c>
      <c r="B345" t="s">
        <v>16</v>
      </c>
      <c r="C345" t="s">
        <v>22</v>
      </c>
      <c r="D345">
        <v>1223</v>
      </c>
      <c r="E345">
        <v>6966</v>
      </c>
      <c r="F345" t="s">
        <v>32</v>
      </c>
    </row>
    <row r="346" spans="1:6" x14ac:dyDescent="0.25">
      <c r="A346" t="s">
        <v>12</v>
      </c>
      <c r="B346" t="s">
        <v>19</v>
      </c>
      <c r="C346" t="s">
        <v>20</v>
      </c>
      <c r="D346">
        <v>6720</v>
      </c>
      <c r="E346">
        <v>5535</v>
      </c>
      <c r="F346" t="s">
        <v>33</v>
      </c>
    </row>
    <row r="347" spans="1:6" x14ac:dyDescent="0.25">
      <c r="A347" t="s">
        <v>10</v>
      </c>
      <c r="B347" t="s">
        <v>13</v>
      </c>
      <c r="C347" t="s">
        <v>29</v>
      </c>
      <c r="D347">
        <v>6063</v>
      </c>
      <c r="E347">
        <v>6709</v>
      </c>
      <c r="F347" t="s">
        <v>34</v>
      </c>
    </row>
    <row r="348" spans="1:6" x14ac:dyDescent="0.25">
      <c r="A348" t="s">
        <v>11</v>
      </c>
      <c r="B348" t="s">
        <v>16</v>
      </c>
      <c r="C348" t="s">
        <v>23</v>
      </c>
      <c r="D348">
        <v>8814</v>
      </c>
      <c r="E348">
        <v>5517</v>
      </c>
      <c r="F348" t="s">
        <v>35</v>
      </c>
    </row>
    <row r="349" spans="1:6" x14ac:dyDescent="0.25">
      <c r="A349" t="s">
        <v>8</v>
      </c>
      <c r="B349" t="s">
        <v>19</v>
      </c>
      <c r="C349" t="s">
        <v>24</v>
      </c>
      <c r="D349">
        <v>4954</v>
      </c>
      <c r="E349">
        <v>8547</v>
      </c>
      <c r="F349" t="s">
        <v>33</v>
      </c>
    </row>
    <row r="350" spans="1:6" x14ac:dyDescent="0.25">
      <c r="A350" t="s">
        <v>8</v>
      </c>
      <c r="B350" t="s">
        <v>13</v>
      </c>
      <c r="C350" t="s">
        <v>24</v>
      </c>
      <c r="D350">
        <v>6124</v>
      </c>
      <c r="E350">
        <v>3846</v>
      </c>
      <c r="F350" t="s">
        <v>35</v>
      </c>
    </row>
    <row r="351" spans="1:6" x14ac:dyDescent="0.25">
      <c r="A351" t="s">
        <v>6</v>
      </c>
      <c r="B351" t="s">
        <v>17</v>
      </c>
      <c r="C351" t="s">
        <v>31</v>
      </c>
      <c r="D351">
        <v>7464</v>
      </c>
      <c r="E351">
        <v>3007</v>
      </c>
      <c r="F351" t="s">
        <v>34</v>
      </c>
    </row>
    <row r="352" spans="1:6" x14ac:dyDescent="0.25">
      <c r="A352" t="s">
        <v>8</v>
      </c>
      <c r="B352" t="s">
        <v>16</v>
      </c>
      <c r="C352" t="s">
        <v>24</v>
      </c>
      <c r="D352">
        <v>1530</v>
      </c>
      <c r="E352">
        <v>1888</v>
      </c>
      <c r="F352" t="s">
        <v>35</v>
      </c>
    </row>
    <row r="353" spans="1:6" x14ac:dyDescent="0.25">
      <c r="A353" t="s">
        <v>8</v>
      </c>
      <c r="B353" t="s">
        <v>14</v>
      </c>
      <c r="C353" t="s">
        <v>27</v>
      </c>
      <c r="D353">
        <v>5043</v>
      </c>
      <c r="E353">
        <v>6765</v>
      </c>
      <c r="F353" t="s">
        <v>34</v>
      </c>
    </row>
    <row r="354" spans="1:6" x14ac:dyDescent="0.25">
      <c r="A354" t="s">
        <v>12</v>
      </c>
      <c r="B354" t="s">
        <v>18</v>
      </c>
      <c r="C354" t="s">
        <v>30</v>
      </c>
      <c r="D354">
        <v>5212</v>
      </c>
      <c r="E354">
        <v>886</v>
      </c>
      <c r="F354" t="s">
        <v>32</v>
      </c>
    </row>
    <row r="355" spans="1:6" x14ac:dyDescent="0.25">
      <c r="A355" t="s">
        <v>11</v>
      </c>
      <c r="B355" t="s">
        <v>19</v>
      </c>
      <c r="C355" t="s">
        <v>29</v>
      </c>
      <c r="D355">
        <v>5263</v>
      </c>
      <c r="E355">
        <v>10592</v>
      </c>
      <c r="F355" t="s">
        <v>35</v>
      </c>
    </row>
    <row r="356" spans="1:6" x14ac:dyDescent="0.25">
      <c r="A356" t="s">
        <v>6</v>
      </c>
      <c r="B356" t="s">
        <v>15</v>
      </c>
      <c r="C356" t="s">
        <v>30</v>
      </c>
      <c r="D356">
        <v>2761</v>
      </c>
      <c r="E356">
        <v>11721</v>
      </c>
      <c r="F356" t="s">
        <v>35</v>
      </c>
    </row>
    <row r="357" spans="1:6" x14ac:dyDescent="0.25">
      <c r="A357" t="s">
        <v>8</v>
      </c>
      <c r="B357" t="s">
        <v>13</v>
      </c>
      <c r="C357" t="s">
        <v>26</v>
      </c>
      <c r="D357">
        <v>9834</v>
      </c>
      <c r="E357">
        <v>7574</v>
      </c>
    </row>
    <row r="358" spans="1:6" x14ac:dyDescent="0.25">
      <c r="A358" t="s">
        <v>10</v>
      </c>
      <c r="B358" t="s">
        <v>15</v>
      </c>
      <c r="C358" t="s">
        <v>28</v>
      </c>
      <c r="D358">
        <v>5131</v>
      </c>
      <c r="E358">
        <v>1962</v>
      </c>
      <c r="F358" t="s">
        <v>35</v>
      </c>
    </row>
    <row r="359" spans="1:6" x14ac:dyDescent="0.25">
      <c r="A359" t="s">
        <v>12</v>
      </c>
      <c r="B359" t="s">
        <v>19</v>
      </c>
      <c r="C359" t="s">
        <v>21</v>
      </c>
      <c r="D359">
        <v>8699</v>
      </c>
      <c r="E359">
        <v>4309</v>
      </c>
      <c r="F359" t="s">
        <v>35</v>
      </c>
    </row>
    <row r="360" spans="1:6" x14ac:dyDescent="0.25">
      <c r="A360" t="s">
        <v>9</v>
      </c>
      <c r="B360" t="s">
        <v>13</v>
      </c>
      <c r="C360" t="s">
        <v>30</v>
      </c>
      <c r="D360">
        <v>6761</v>
      </c>
      <c r="E360">
        <v>10879</v>
      </c>
      <c r="F360" t="s">
        <v>33</v>
      </c>
    </row>
    <row r="361" spans="1:6" x14ac:dyDescent="0.25">
      <c r="A361" t="s">
        <v>9</v>
      </c>
      <c r="B361" t="s">
        <v>14</v>
      </c>
      <c r="C361" t="s">
        <v>23</v>
      </c>
      <c r="D361">
        <v>6598</v>
      </c>
      <c r="E361">
        <v>1004</v>
      </c>
      <c r="F361" t="s">
        <v>34</v>
      </c>
    </row>
    <row r="362" spans="1:6" x14ac:dyDescent="0.25">
      <c r="A362" t="s">
        <v>10</v>
      </c>
      <c r="B362" t="s">
        <v>17</v>
      </c>
      <c r="C362" t="s">
        <v>24</v>
      </c>
      <c r="D362">
        <v>9414</v>
      </c>
      <c r="E362">
        <v>10157</v>
      </c>
      <c r="F362" t="s">
        <v>33</v>
      </c>
    </row>
    <row r="363" spans="1:6" x14ac:dyDescent="0.25">
      <c r="A363" t="s">
        <v>8</v>
      </c>
      <c r="B363" t="s">
        <v>13</v>
      </c>
      <c r="C363" t="s">
        <v>26</v>
      </c>
      <c r="D363">
        <v>6959</v>
      </c>
      <c r="E363">
        <v>7117</v>
      </c>
      <c r="F363" t="s">
        <v>32</v>
      </c>
    </row>
    <row r="364" spans="1:6" x14ac:dyDescent="0.25">
      <c r="A364" t="s">
        <v>6</v>
      </c>
      <c r="B364" t="s">
        <v>17</v>
      </c>
      <c r="C364" t="s">
        <v>28</v>
      </c>
      <c r="D364">
        <v>5843</v>
      </c>
      <c r="E364">
        <v>2609</v>
      </c>
      <c r="F364" t="s">
        <v>34</v>
      </c>
    </row>
    <row r="365" spans="1:6" x14ac:dyDescent="0.25">
      <c r="A365" t="s">
        <v>12</v>
      </c>
      <c r="B365" t="s">
        <v>17</v>
      </c>
      <c r="C365" t="s">
        <v>24</v>
      </c>
      <c r="D365">
        <v>9347</v>
      </c>
      <c r="E365">
        <v>2852</v>
      </c>
      <c r="F365" t="s">
        <v>33</v>
      </c>
    </row>
    <row r="366" spans="1:6" x14ac:dyDescent="0.25">
      <c r="A366" t="s">
        <v>10</v>
      </c>
      <c r="B366" t="s">
        <v>19</v>
      </c>
      <c r="C366" t="s">
        <v>20</v>
      </c>
      <c r="D366">
        <v>1986</v>
      </c>
      <c r="E366">
        <v>5673</v>
      </c>
      <c r="F366" t="s">
        <v>35</v>
      </c>
    </row>
    <row r="367" spans="1:6" x14ac:dyDescent="0.25">
      <c r="A367" t="s">
        <v>12</v>
      </c>
      <c r="B367" t="s">
        <v>19</v>
      </c>
      <c r="C367" t="s">
        <v>20</v>
      </c>
      <c r="D367">
        <v>9305</v>
      </c>
      <c r="E367">
        <v>8197</v>
      </c>
      <c r="F367" t="s">
        <v>33</v>
      </c>
    </row>
    <row r="368" spans="1:6" x14ac:dyDescent="0.25">
      <c r="A368" t="s">
        <v>7</v>
      </c>
      <c r="B368" t="s">
        <v>16</v>
      </c>
      <c r="C368" t="s">
        <v>24</v>
      </c>
      <c r="D368">
        <v>3396</v>
      </c>
      <c r="E368">
        <v>9280</v>
      </c>
      <c r="F368" t="s">
        <v>33</v>
      </c>
    </row>
    <row r="369" spans="1:6" x14ac:dyDescent="0.25">
      <c r="A369" t="s">
        <v>6</v>
      </c>
      <c r="B369" t="s">
        <v>17</v>
      </c>
      <c r="C369" t="s">
        <v>31</v>
      </c>
      <c r="D369">
        <v>8334</v>
      </c>
      <c r="E369">
        <v>1976</v>
      </c>
      <c r="F369" t="s">
        <v>33</v>
      </c>
    </row>
    <row r="370" spans="1:6" x14ac:dyDescent="0.25">
      <c r="A370" t="s">
        <v>8</v>
      </c>
      <c r="B370" t="s">
        <v>17</v>
      </c>
      <c r="C370" t="s">
        <v>20</v>
      </c>
      <c r="D370">
        <v>6860</v>
      </c>
      <c r="E370">
        <v>1653</v>
      </c>
      <c r="F370" t="s">
        <v>33</v>
      </c>
    </row>
    <row r="371" spans="1:6" x14ac:dyDescent="0.25">
      <c r="A371" t="s">
        <v>8</v>
      </c>
      <c r="B371" t="s">
        <v>15</v>
      </c>
      <c r="C371" t="s">
        <v>22</v>
      </c>
      <c r="D371">
        <v>1074</v>
      </c>
      <c r="E371">
        <v>9933</v>
      </c>
      <c r="F371" t="s">
        <v>34</v>
      </c>
    </row>
    <row r="372" spans="1:6" x14ac:dyDescent="0.25">
      <c r="A372" t="s">
        <v>8</v>
      </c>
      <c r="B372" t="s">
        <v>18</v>
      </c>
      <c r="C372" t="s">
        <v>29</v>
      </c>
      <c r="D372">
        <v>9798</v>
      </c>
      <c r="E372">
        <v>5795</v>
      </c>
    </row>
    <row r="373" spans="1:6" x14ac:dyDescent="0.25">
      <c r="A373" t="s">
        <v>11</v>
      </c>
      <c r="B373" t="s">
        <v>14</v>
      </c>
      <c r="C373" t="s">
        <v>29</v>
      </c>
      <c r="D373">
        <v>2247</v>
      </c>
      <c r="E373">
        <v>1405</v>
      </c>
      <c r="F373" t="s">
        <v>34</v>
      </c>
    </row>
    <row r="374" spans="1:6" x14ac:dyDescent="0.25">
      <c r="A374" t="s">
        <v>12</v>
      </c>
      <c r="B374" t="s">
        <v>17</v>
      </c>
      <c r="C374" t="s">
        <v>23</v>
      </c>
      <c r="D374">
        <v>7041</v>
      </c>
      <c r="E374">
        <v>11306</v>
      </c>
      <c r="F374" t="s">
        <v>32</v>
      </c>
    </row>
    <row r="375" spans="1:6" x14ac:dyDescent="0.25">
      <c r="A375" t="s">
        <v>8</v>
      </c>
      <c r="B375" t="s">
        <v>19</v>
      </c>
      <c r="C375" t="s">
        <v>22</v>
      </c>
      <c r="D375">
        <v>4141</v>
      </c>
      <c r="E375">
        <v>4841</v>
      </c>
      <c r="F375" t="s">
        <v>35</v>
      </c>
    </row>
    <row r="376" spans="1:6" x14ac:dyDescent="0.25">
      <c r="A376" t="s">
        <v>7</v>
      </c>
      <c r="B376" t="s">
        <v>18</v>
      </c>
      <c r="C376" t="s">
        <v>29</v>
      </c>
      <c r="D376">
        <v>5574</v>
      </c>
      <c r="E376">
        <v>3718</v>
      </c>
    </row>
    <row r="377" spans="1:6" x14ac:dyDescent="0.25">
      <c r="A377" t="s">
        <v>8</v>
      </c>
      <c r="B377" t="s">
        <v>17</v>
      </c>
      <c r="C377" t="s">
        <v>29</v>
      </c>
      <c r="D377">
        <v>4501</v>
      </c>
      <c r="E377">
        <v>7447</v>
      </c>
      <c r="F377" t="s">
        <v>33</v>
      </c>
    </row>
    <row r="378" spans="1:6" x14ac:dyDescent="0.25">
      <c r="A378" t="s">
        <v>7</v>
      </c>
      <c r="B378" t="s">
        <v>17</v>
      </c>
      <c r="C378" t="s">
        <v>24</v>
      </c>
      <c r="D378">
        <v>7364</v>
      </c>
      <c r="E378">
        <v>2439</v>
      </c>
    </row>
    <row r="379" spans="1:6" x14ac:dyDescent="0.25">
      <c r="A379" t="s">
        <v>9</v>
      </c>
      <c r="B379" t="s">
        <v>17</v>
      </c>
      <c r="C379" t="s">
        <v>28</v>
      </c>
      <c r="D379">
        <v>4512</v>
      </c>
      <c r="E379">
        <v>11544</v>
      </c>
    </row>
    <row r="380" spans="1:6" x14ac:dyDescent="0.25">
      <c r="A380" t="s">
        <v>6</v>
      </c>
      <c r="B380" t="s">
        <v>14</v>
      </c>
      <c r="C380" t="s">
        <v>24</v>
      </c>
      <c r="D380">
        <v>4578</v>
      </c>
      <c r="E380">
        <v>7320</v>
      </c>
      <c r="F380" t="s">
        <v>32</v>
      </c>
    </row>
    <row r="381" spans="1:6" x14ac:dyDescent="0.25">
      <c r="A381" t="s">
        <v>10</v>
      </c>
      <c r="B381" t="s">
        <v>17</v>
      </c>
      <c r="C381" t="s">
        <v>25</v>
      </c>
      <c r="D381">
        <v>8709</v>
      </c>
      <c r="E381">
        <v>8113</v>
      </c>
    </row>
    <row r="382" spans="1:6" x14ac:dyDescent="0.25">
      <c r="A382" t="s">
        <v>9</v>
      </c>
      <c r="B382" t="s">
        <v>15</v>
      </c>
      <c r="C382" t="s">
        <v>21</v>
      </c>
      <c r="D382">
        <v>3364</v>
      </c>
      <c r="E382">
        <v>9264</v>
      </c>
      <c r="F382" t="s">
        <v>34</v>
      </c>
    </row>
    <row r="383" spans="1:6" x14ac:dyDescent="0.25">
      <c r="A383" t="s">
        <v>12</v>
      </c>
      <c r="B383" t="s">
        <v>19</v>
      </c>
      <c r="C383" t="s">
        <v>28</v>
      </c>
      <c r="D383">
        <v>2367</v>
      </c>
      <c r="E383">
        <v>5740</v>
      </c>
      <c r="F383" t="s">
        <v>33</v>
      </c>
    </row>
    <row r="384" spans="1:6" x14ac:dyDescent="0.25">
      <c r="A384" t="s">
        <v>8</v>
      </c>
      <c r="B384" t="s">
        <v>18</v>
      </c>
      <c r="C384" t="s">
        <v>28</v>
      </c>
      <c r="D384">
        <v>3071</v>
      </c>
      <c r="E384">
        <v>1281</v>
      </c>
      <c r="F384" t="s">
        <v>35</v>
      </c>
    </row>
    <row r="385" spans="1:6" x14ac:dyDescent="0.25">
      <c r="A385" t="s">
        <v>6</v>
      </c>
      <c r="B385" t="s">
        <v>14</v>
      </c>
      <c r="C385" t="s">
        <v>24</v>
      </c>
      <c r="D385">
        <v>4497</v>
      </c>
      <c r="E385">
        <v>4909</v>
      </c>
    </row>
    <row r="386" spans="1:6" x14ac:dyDescent="0.25">
      <c r="A386" t="s">
        <v>10</v>
      </c>
      <c r="B386" t="s">
        <v>18</v>
      </c>
      <c r="C386" t="s">
        <v>21</v>
      </c>
      <c r="D386">
        <v>1322</v>
      </c>
      <c r="E386">
        <v>6535</v>
      </c>
      <c r="F386" t="s">
        <v>35</v>
      </c>
    </row>
    <row r="387" spans="1:6" x14ac:dyDescent="0.25">
      <c r="A387" t="s">
        <v>6</v>
      </c>
      <c r="B387" t="s">
        <v>18</v>
      </c>
      <c r="C387" t="s">
        <v>24</v>
      </c>
      <c r="D387">
        <v>4410</v>
      </c>
      <c r="E387">
        <v>4320</v>
      </c>
    </row>
    <row r="388" spans="1:6" x14ac:dyDescent="0.25">
      <c r="A388" t="s">
        <v>7</v>
      </c>
      <c r="B388" t="s">
        <v>13</v>
      </c>
      <c r="C388" t="s">
        <v>28</v>
      </c>
      <c r="D388">
        <v>6712</v>
      </c>
      <c r="E388">
        <v>5878</v>
      </c>
    </row>
    <row r="389" spans="1:6" x14ac:dyDescent="0.25">
      <c r="A389" t="s">
        <v>12</v>
      </c>
      <c r="B389" t="s">
        <v>17</v>
      </c>
      <c r="C389" t="s">
        <v>23</v>
      </c>
      <c r="D389">
        <v>8485</v>
      </c>
      <c r="E389">
        <v>1677</v>
      </c>
      <c r="F389" t="s">
        <v>35</v>
      </c>
    </row>
    <row r="390" spans="1:6" x14ac:dyDescent="0.25">
      <c r="A390" t="s">
        <v>11</v>
      </c>
      <c r="B390" t="s">
        <v>18</v>
      </c>
      <c r="C390" t="s">
        <v>29</v>
      </c>
      <c r="D390">
        <v>7732</v>
      </c>
      <c r="E390">
        <v>2764</v>
      </c>
      <c r="F390" t="s">
        <v>34</v>
      </c>
    </row>
    <row r="391" spans="1:6" x14ac:dyDescent="0.25">
      <c r="A391" t="s">
        <v>9</v>
      </c>
      <c r="B391" t="s">
        <v>13</v>
      </c>
      <c r="C391" t="s">
        <v>25</v>
      </c>
      <c r="D391">
        <v>3159</v>
      </c>
      <c r="E391">
        <v>10256</v>
      </c>
      <c r="F391" t="s">
        <v>35</v>
      </c>
    </row>
    <row r="392" spans="1:6" x14ac:dyDescent="0.25">
      <c r="A392" t="s">
        <v>9</v>
      </c>
      <c r="B392" t="s">
        <v>13</v>
      </c>
      <c r="C392" t="s">
        <v>29</v>
      </c>
      <c r="D392">
        <v>4336</v>
      </c>
      <c r="E392">
        <v>10618</v>
      </c>
    </row>
    <row r="393" spans="1:6" x14ac:dyDescent="0.25">
      <c r="A393" t="s">
        <v>6</v>
      </c>
      <c r="B393" t="s">
        <v>15</v>
      </c>
      <c r="C393" t="s">
        <v>29</v>
      </c>
      <c r="D393">
        <v>3184</v>
      </c>
      <c r="E393">
        <v>7835</v>
      </c>
      <c r="F393" t="s">
        <v>33</v>
      </c>
    </row>
    <row r="394" spans="1:6" x14ac:dyDescent="0.25">
      <c r="A394" t="s">
        <v>10</v>
      </c>
      <c r="B394" t="s">
        <v>17</v>
      </c>
      <c r="C394" t="s">
        <v>23</v>
      </c>
      <c r="D394">
        <v>4494</v>
      </c>
      <c r="E394">
        <v>6591</v>
      </c>
      <c r="F394" t="s">
        <v>32</v>
      </c>
    </row>
    <row r="395" spans="1:6" x14ac:dyDescent="0.25">
      <c r="A395" t="s">
        <v>12</v>
      </c>
      <c r="B395" t="s">
        <v>16</v>
      </c>
      <c r="C395" t="s">
        <v>22</v>
      </c>
      <c r="D395">
        <v>8721</v>
      </c>
      <c r="E395">
        <v>10508</v>
      </c>
      <c r="F395" t="s">
        <v>33</v>
      </c>
    </row>
    <row r="396" spans="1:6" x14ac:dyDescent="0.25">
      <c r="A396" t="s">
        <v>9</v>
      </c>
      <c r="B396" t="s">
        <v>16</v>
      </c>
      <c r="C396" t="s">
        <v>30</v>
      </c>
      <c r="D396">
        <v>9237</v>
      </c>
      <c r="E396">
        <v>4112</v>
      </c>
      <c r="F396" t="s">
        <v>35</v>
      </c>
    </row>
    <row r="397" spans="1:6" x14ac:dyDescent="0.25">
      <c r="A397" t="s">
        <v>12</v>
      </c>
      <c r="B397" t="s">
        <v>16</v>
      </c>
      <c r="C397" t="s">
        <v>21</v>
      </c>
      <c r="D397">
        <v>4808</v>
      </c>
      <c r="E397">
        <v>11555</v>
      </c>
      <c r="F397" t="s">
        <v>35</v>
      </c>
    </row>
    <row r="398" spans="1:6" x14ac:dyDescent="0.25">
      <c r="A398" t="s">
        <v>12</v>
      </c>
      <c r="B398" t="s">
        <v>14</v>
      </c>
      <c r="C398" t="s">
        <v>21</v>
      </c>
      <c r="D398">
        <v>9600</v>
      </c>
      <c r="E398">
        <v>8404</v>
      </c>
      <c r="F398" t="s">
        <v>34</v>
      </c>
    </row>
    <row r="399" spans="1:6" x14ac:dyDescent="0.25">
      <c r="A399" t="s">
        <v>12</v>
      </c>
      <c r="B399" t="s">
        <v>18</v>
      </c>
      <c r="C399" t="s">
        <v>22</v>
      </c>
      <c r="D399">
        <v>8701</v>
      </c>
      <c r="E399">
        <v>3244</v>
      </c>
      <c r="F399" t="s">
        <v>34</v>
      </c>
    </row>
    <row r="400" spans="1:6" x14ac:dyDescent="0.25">
      <c r="A400" t="s">
        <v>8</v>
      </c>
      <c r="B400" t="s">
        <v>16</v>
      </c>
      <c r="C400" t="s">
        <v>28</v>
      </c>
      <c r="D400">
        <v>1394</v>
      </c>
      <c r="E400">
        <v>10215</v>
      </c>
      <c r="F400" t="s">
        <v>33</v>
      </c>
    </row>
    <row r="401" spans="1:6" x14ac:dyDescent="0.25">
      <c r="A401" t="s">
        <v>9</v>
      </c>
      <c r="B401" t="s">
        <v>18</v>
      </c>
      <c r="C401" t="s">
        <v>21</v>
      </c>
      <c r="D401">
        <v>1146</v>
      </c>
      <c r="E401">
        <v>6958</v>
      </c>
      <c r="F401" t="s">
        <v>33</v>
      </c>
    </row>
    <row r="402" spans="1:6" x14ac:dyDescent="0.25">
      <c r="A402" t="s">
        <v>8</v>
      </c>
      <c r="B402" t="s">
        <v>17</v>
      </c>
      <c r="C402" t="s">
        <v>22</v>
      </c>
      <c r="D402">
        <v>3150</v>
      </c>
      <c r="E402">
        <v>10703</v>
      </c>
      <c r="F402" t="s">
        <v>33</v>
      </c>
    </row>
    <row r="403" spans="1:6" x14ac:dyDescent="0.25">
      <c r="A403" t="s">
        <v>12</v>
      </c>
      <c r="B403" t="s">
        <v>19</v>
      </c>
      <c r="C403" t="s">
        <v>25</v>
      </c>
      <c r="D403">
        <v>1765</v>
      </c>
      <c r="E403">
        <v>10599</v>
      </c>
    </row>
    <row r="404" spans="1:6" x14ac:dyDescent="0.25">
      <c r="A404" t="s">
        <v>11</v>
      </c>
      <c r="B404" t="s">
        <v>13</v>
      </c>
      <c r="C404" t="s">
        <v>22</v>
      </c>
      <c r="D404">
        <v>3131</v>
      </c>
      <c r="E404">
        <v>3321</v>
      </c>
      <c r="F404" t="s">
        <v>33</v>
      </c>
    </row>
    <row r="405" spans="1:6" x14ac:dyDescent="0.25">
      <c r="A405" t="s">
        <v>9</v>
      </c>
      <c r="B405" t="s">
        <v>13</v>
      </c>
      <c r="C405" t="s">
        <v>28</v>
      </c>
      <c r="D405">
        <v>6008</v>
      </c>
      <c r="E405">
        <v>5421</v>
      </c>
      <c r="F405" t="s">
        <v>34</v>
      </c>
    </row>
    <row r="406" spans="1:6" x14ac:dyDescent="0.25">
      <c r="A406" t="s">
        <v>8</v>
      </c>
      <c r="B406" t="s">
        <v>17</v>
      </c>
      <c r="C406" t="s">
        <v>21</v>
      </c>
      <c r="D406">
        <v>8732</v>
      </c>
      <c r="E406">
        <v>2976</v>
      </c>
    </row>
    <row r="407" spans="1:6" x14ac:dyDescent="0.25">
      <c r="A407" t="s">
        <v>7</v>
      </c>
      <c r="B407" t="s">
        <v>18</v>
      </c>
      <c r="C407" t="s">
        <v>24</v>
      </c>
      <c r="D407">
        <v>1593</v>
      </c>
      <c r="E407">
        <v>7292</v>
      </c>
      <c r="F407" t="s">
        <v>34</v>
      </c>
    </row>
    <row r="408" spans="1:6" x14ac:dyDescent="0.25">
      <c r="A408" t="s">
        <v>7</v>
      </c>
      <c r="B408" t="s">
        <v>14</v>
      </c>
      <c r="C408" t="s">
        <v>27</v>
      </c>
      <c r="D408">
        <v>1834</v>
      </c>
      <c r="E408">
        <v>8696</v>
      </c>
      <c r="F408" t="s">
        <v>35</v>
      </c>
    </row>
    <row r="409" spans="1:6" x14ac:dyDescent="0.25">
      <c r="A409" t="s">
        <v>10</v>
      </c>
      <c r="B409" t="s">
        <v>13</v>
      </c>
      <c r="C409" t="s">
        <v>23</v>
      </c>
      <c r="D409">
        <v>3112</v>
      </c>
      <c r="E409">
        <v>4368</v>
      </c>
      <c r="F409" t="s">
        <v>34</v>
      </c>
    </row>
    <row r="410" spans="1:6" x14ac:dyDescent="0.25">
      <c r="A410" t="s">
        <v>6</v>
      </c>
      <c r="B410" t="s">
        <v>17</v>
      </c>
      <c r="C410" t="s">
        <v>29</v>
      </c>
      <c r="D410">
        <v>3309</v>
      </c>
      <c r="E410">
        <v>8075</v>
      </c>
      <c r="F410" t="s">
        <v>32</v>
      </c>
    </row>
    <row r="411" spans="1:6" x14ac:dyDescent="0.25">
      <c r="A411" t="s">
        <v>11</v>
      </c>
      <c r="B411" t="s">
        <v>13</v>
      </c>
      <c r="C411" t="s">
        <v>26</v>
      </c>
      <c r="D411">
        <v>6369</v>
      </c>
      <c r="E411">
        <v>11050</v>
      </c>
    </row>
    <row r="412" spans="1:6" x14ac:dyDescent="0.25">
      <c r="A412" t="s">
        <v>11</v>
      </c>
      <c r="B412" t="s">
        <v>19</v>
      </c>
      <c r="C412" t="s">
        <v>26</v>
      </c>
      <c r="D412">
        <v>5681</v>
      </c>
      <c r="E412">
        <v>9019</v>
      </c>
    </row>
    <row r="413" spans="1:6" x14ac:dyDescent="0.25">
      <c r="A413" t="s">
        <v>9</v>
      </c>
      <c r="B413" t="s">
        <v>19</v>
      </c>
      <c r="C413" t="s">
        <v>27</v>
      </c>
      <c r="D413">
        <v>2843</v>
      </c>
      <c r="E413">
        <v>8371</v>
      </c>
      <c r="F413" t="s">
        <v>33</v>
      </c>
    </row>
    <row r="414" spans="1:6" x14ac:dyDescent="0.25">
      <c r="A414" t="s">
        <v>9</v>
      </c>
      <c r="B414" t="s">
        <v>14</v>
      </c>
      <c r="C414" t="s">
        <v>28</v>
      </c>
      <c r="D414">
        <v>8661</v>
      </c>
      <c r="E414">
        <v>5009</v>
      </c>
      <c r="F414" t="s">
        <v>34</v>
      </c>
    </row>
    <row r="415" spans="1:6" x14ac:dyDescent="0.25">
      <c r="A415" t="s">
        <v>7</v>
      </c>
      <c r="B415" t="s">
        <v>19</v>
      </c>
      <c r="C415" t="s">
        <v>24</v>
      </c>
      <c r="D415">
        <v>5788</v>
      </c>
      <c r="E415">
        <v>3671</v>
      </c>
    </row>
    <row r="416" spans="1:6" x14ac:dyDescent="0.25">
      <c r="A416" t="s">
        <v>11</v>
      </c>
      <c r="B416" t="s">
        <v>14</v>
      </c>
      <c r="C416" t="s">
        <v>25</v>
      </c>
      <c r="D416">
        <v>9496</v>
      </c>
      <c r="E416">
        <v>10916</v>
      </c>
    </row>
    <row r="417" spans="1:6" x14ac:dyDescent="0.25">
      <c r="A417" t="s">
        <v>10</v>
      </c>
      <c r="B417" t="s">
        <v>16</v>
      </c>
      <c r="C417" t="s">
        <v>24</v>
      </c>
      <c r="D417">
        <v>5345</v>
      </c>
      <c r="E417">
        <v>3641</v>
      </c>
    </row>
    <row r="418" spans="1:6" x14ac:dyDescent="0.25">
      <c r="A418" t="s">
        <v>10</v>
      </c>
      <c r="B418" t="s">
        <v>14</v>
      </c>
      <c r="C418" t="s">
        <v>20</v>
      </c>
      <c r="D418">
        <v>8724</v>
      </c>
      <c r="E418">
        <v>11752</v>
      </c>
      <c r="F418" t="s">
        <v>35</v>
      </c>
    </row>
    <row r="419" spans="1:6" x14ac:dyDescent="0.25">
      <c r="A419" t="s">
        <v>12</v>
      </c>
      <c r="B419" t="s">
        <v>17</v>
      </c>
      <c r="C419" t="s">
        <v>26</v>
      </c>
      <c r="D419">
        <v>4820</v>
      </c>
      <c r="E419">
        <v>10915</v>
      </c>
    </row>
    <row r="420" spans="1:6" x14ac:dyDescent="0.25">
      <c r="A420" t="s">
        <v>10</v>
      </c>
      <c r="B420" t="s">
        <v>13</v>
      </c>
      <c r="C420" t="s">
        <v>27</v>
      </c>
      <c r="D420">
        <v>1143</v>
      </c>
      <c r="E420">
        <v>11179</v>
      </c>
    </row>
    <row r="421" spans="1:6" x14ac:dyDescent="0.25">
      <c r="A421" t="s">
        <v>6</v>
      </c>
      <c r="B421" t="s">
        <v>17</v>
      </c>
      <c r="C421" t="s">
        <v>21</v>
      </c>
      <c r="D421">
        <v>3112</v>
      </c>
      <c r="E421">
        <v>864</v>
      </c>
      <c r="F421" t="s">
        <v>34</v>
      </c>
    </row>
    <row r="422" spans="1:6" x14ac:dyDescent="0.25">
      <c r="A422" t="s">
        <v>7</v>
      </c>
      <c r="B422" t="s">
        <v>16</v>
      </c>
      <c r="C422" t="s">
        <v>30</v>
      </c>
      <c r="D422">
        <v>9391</v>
      </c>
      <c r="E422">
        <v>5280</v>
      </c>
      <c r="F422" t="s">
        <v>35</v>
      </c>
    </row>
    <row r="423" spans="1:6" x14ac:dyDescent="0.25">
      <c r="A423" t="s">
        <v>11</v>
      </c>
      <c r="B423" t="s">
        <v>15</v>
      </c>
      <c r="C423" t="s">
        <v>27</v>
      </c>
      <c r="D423">
        <v>4770</v>
      </c>
      <c r="E423">
        <v>10869</v>
      </c>
      <c r="F423" t="s">
        <v>34</v>
      </c>
    </row>
    <row r="424" spans="1:6" x14ac:dyDescent="0.25">
      <c r="A424" t="s">
        <v>9</v>
      </c>
      <c r="B424" t="s">
        <v>15</v>
      </c>
      <c r="C424" t="s">
        <v>29</v>
      </c>
      <c r="D424">
        <v>8746</v>
      </c>
      <c r="E424">
        <v>8256</v>
      </c>
      <c r="F424" t="s">
        <v>33</v>
      </c>
    </row>
    <row r="425" spans="1:6" x14ac:dyDescent="0.25">
      <c r="A425" t="s">
        <v>6</v>
      </c>
      <c r="B425" t="s">
        <v>13</v>
      </c>
      <c r="C425" t="s">
        <v>22</v>
      </c>
      <c r="D425">
        <v>1425</v>
      </c>
      <c r="E425">
        <v>9194</v>
      </c>
      <c r="F425" t="s">
        <v>32</v>
      </c>
    </row>
    <row r="426" spans="1:6" x14ac:dyDescent="0.25">
      <c r="A426" t="s">
        <v>10</v>
      </c>
      <c r="B426" t="s">
        <v>18</v>
      </c>
      <c r="C426" t="s">
        <v>27</v>
      </c>
      <c r="D426">
        <v>6268</v>
      </c>
      <c r="E426">
        <v>6863</v>
      </c>
      <c r="F426" t="s">
        <v>34</v>
      </c>
    </row>
    <row r="427" spans="1:6" x14ac:dyDescent="0.25">
      <c r="A427" t="s">
        <v>11</v>
      </c>
      <c r="B427" t="s">
        <v>19</v>
      </c>
      <c r="C427" t="s">
        <v>23</v>
      </c>
      <c r="D427">
        <v>2613</v>
      </c>
      <c r="E427">
        <v>2542</v>
      </c>
      <c r="F427" t="s">
        <v>34</v>
      </c>
    </row>
    <row r="428" spans="1:6" x14ac:dyDescent="0.25">
      <c r="A428" t="s">
        <v>7</v>
      </c>
      <c r="B428" t="s">
        <v>16</v>
      </c>
      <c r="C428" t="s">
        <v>29</v>
      </c>
      <c r="D428">
        <v>9095</v>
      </c>
      <c r="E428">
        <v>4732</v>
      </c>
      <c r="F428" t="s">
        <v>32</v>
      </c>
    </row>
    <row r="429" spans="1:6" x14ac:dyDescent="0.25">
      <c r="A429" t="s">
        <v>9</v>
      </c>
      <c r="B429" t="s">
        <v>14</v>
      </c>
      <c r="C429" t="s">
        <v>28</v>
      </c>
      <c r="D429">
        <v>9669</v>
      </c>
      <c r="E429">
        <v>7890</v>
      </c>
      <c r="F429" t="s">
        <v>34</v>
      </c>
    </row>
    <row r="430" spans="1:6" x14ac:dyDescent="0.25">
      <c r="A430" t="s">
        <v>7</v>
      </c>
      <c r="B430" t="s">
        <v>14</v>
      </c>
      <c r="C430" t="s">
        <v>25</v>
      </c>
      <c r="D430">
        <v>5163</v>
      </c>
      <c r="E430">
        <v>3660</v>
      </c>
      <c r="F430" t="s">
        <v>34</v>
      </c>
    </row>
    <row r="431" spans="1:6" x14ac:dyDescent="0.25">
      <c r="A431" t="s">
        <v>12</v>
      </c>
      <c r="B431" t="s">
        <v>14</v>
      </c>
      <c r="C431" t="s">
        <v>29</v>
      </c>
      <c r="D431">
        <v>6831</v>
      </c>
      <c r="E431">
        <v>5287</v>
      </c>
    </row>
    <row r="432" spans="1:6" x14ac:dyDescent="0.25">
      <c r="A432" t="s">
        <v>12</v>
      </c>
      <c r="B432" t="s">
        <v>16</v>
      </c>
      <c r="C432" t="s">
        <v>28</v>
      </c>
      <c r="D432">
        <v>1781</v>
      </c>
      <c r="E432">
        <v>5118</v>
      </c>
    </row>
    <row r="433" spans="1:6" x14ac:dyDescent="0.25">
      <c r="A433" t="s">
        <v>8</v>
      </c>
      <c r="B433" t="s">
        <v>19</v>
      </c>
      <c r="C433" t="s">
        <v>25</v>
      </c>
      <c r="D433">
        <v>9572</v>
      </c>
      <c r="E433">
        <v>4180</v>
      </c>
      <c r="F433" t="s">
        <v>33</v>
      </c>
    </row>
    <row r="434" spans="1:6" x14ac:dyDescent="0.25">
      <c r="A434" t="s">
        <v>10</v>
      </c>
      <c r="B434" t="s">
        <v>14</v>
      </c>
      <c r="C434" t="s">
        <v>29</v>
      </c>
      <c r="D434">
        <v>9038</v>
      </c>
      <c r="E434">
        <v>11675</v>
      </c>
      <c r="F434" t="s">
        <v>33</v>
      </c>
    </row>
    <row r="435" spans="1:6" x14ac:dyDescent="0.25">
      <c r="A435" t="s">
        <v>7</v>
      </c>
      <c r="B435" t="s">
        <v>15</v>
      </c>
      <c r="C435" t="s">
        <v>29</v>
      </c>
      <c r="D435">
        <v>6317</v>
      </c>
      <c r="E435">
        <v>8373</v>
      </c>
      <c r="F435" t="s">
        <v>34</v>
      </c>
    </row>
    <row r="436" spans="1:6" x14ac:dyDescent="0.25">
      <c r="A436" t="s">
        <v>9</v>
      </c>
      <c r="B436" t="s">
        <v>16</v>
      </c>
      <c r="C436" t="s">
        <v>27</v>
      </c>
      <c r="D436">
        <v>7932</v>
      </c>
      <c r="E436">
        <v>11043</v>
      </c>
      <c r="F436" t="s">
        <v>35</v>
      </c>
    </row>
    <row r="437" spans="1:6" x14ac:dyDescent="0.25">
      <c r="A437" t="s">
        <v>9</v>
      </c>
      <c r="B437" t="s">
        <v>19</v>
      </c>
      <c r="C437" t="s">
        <v>26</v>
      </c>
      <c r="D437">
        <v>9871</v>
      </c>
      <c r="E437">
        <v>6466</v>
      </c>
    </row>
    <row r="438" spans="1:6" x14ac:dyDescent="0.25">
      <c r="A438" t="s">
        <v>9</v>
      </c>
      <c r="B438" t="s">
        <v>17</v>
      </c>
      <c r="C438" t="s">
        <v>31</v>
      </c>
      <c r="D438">
        <v>2475</v>
      </c>
      <c r="E438">
        <v>4554</v>
      </c>
      <c r="F438" t="s">
        <v>33</v>
      </c>
    </row>
    <row r="439" spans="1:6" x14ac:dyDescent="0.25">
      <c r="A439" t="s">
        <v>11</v>
      </c>
      <c r="B439" t="s">
        <v>13</v>
      </c>
      <c r="C439" t="s">
        <v>20</v>
      </c>
      <c r="D439">
        <v>5429</v>
      </c>
      <c r="E439">
        <v>8338</v>
      </c>
      <c r="F439" t="s">
        <v>32</v>
      </c>
    </row>
    <row r="440" spans="1:6" x14ac:dyDescent="0.25">
      <c r="A440" t="s">
        <v>6</v>
      </c>
      <c r="B440" t="s">
        <v>13</v>
      </c>
      <c r="C440" t="s">
        <v>20</v>
      </c>
      <c r="D440">
        <v>5589</v>
      </c>
      <c r="E440">
        <v>7488</v>
      </c>
    </row>
    <row r="441" spans="1:6" x14ac:dyDescent="0.25">
      <c r="A441" t="s">
        <v>11</v>
      </c>
      <c r="B441" t="s">
        <v>13</v>
      </c>
      <c r="C441" t="s">
        <v>31</v>
      </c>
      <c r="D441">
        <v>2318</v>
      </c>
      <c r="E441">
        <v>11633</v>
      </c>
      <c r="F441" t="s">
        <v>34</v>
      </c>
    </row>
    <row r="442" spans="1:6" x14ac:dyDescent="0.25">
      <c r="A442" t="s">
        <v>10</v>
      </c>
      <c r="B442" t="s">
        <v>13</v>
      </c>
      <c r="C442" t="s">
        <v>24</v>
      </c>
      <c r="D442">
        <v>9669</v>
      </c>
      <c r="E442">
        <v>6073</v>
      </c>
      <c r="F442" t="s">
        <v>32</v>
      </c>
    </row>
    <row r="443" spans="1:6" x14ac:dyDescent="0.25">
      <c r="A443" t="s">
        <v>11</v>
      </c>
      <c r="B443" t="s">
        <v>18</v>
      </c>
      <c r="C443" t="s">
        <v>21</v>
      </c>
      <c r="D443">
        <v>4450</v>
      </c>
      <c r="E443">
        <v>7714</v>
      </c>
    </row>
    <row r="444" spans="1:6" x14ac:dyDescent="0.25">
      <c r="A444" t="s">
        <v>8</v>
      </c>
      <c r="B444" t="s">
        <v>15</v>
      </c>
      <c r="C444" t="s">
        <v>31</v>
      </c>
      <c r="D444">
        <v>5464</v>
      </c>
      <c r="E444">
        <v>1674</v>
      </c>
      <c r="F444" t="s">
        <v>33</v>
      </c>
    </row>
    <row r="445" spans="1:6" x14ac:dyDescent="0.25">
      <c r="A445" t="s">
        <v>6</v>
      </c>
      <c r="B445" t="s">
        <v>14</v>
      </c>
      <c r="C445" t="s">
        <v>23</v>
      </c>
      <c r="D445">
        <v>6383</v>
      </c>
      <c r="E445">
        <v>3376</v>
      </c>
      <c r="F445" t="s">
        <v>34</v>
      </c>
    </row>
    <row r="446" spans="1:6" x14ac:dyDescent="0.25">
      <c r="A446" t="s">
        <v>7</v>
      </c>
      <c r="B446" t="s">
        <v>18</v>
      </c>
      <c r="C446" t="s">
        <v>28</v>
      </c>
      <c r="D446">
        <v>3171</v>
      </c>
      <c r="E446">
        <v>6967</v>
      </c>
      <c r="F446" t="s">
        <v>35</v>
      </c>
    </row>
    <row r="447" spans="1:6" x14ac:dyDescent="0.25">
      <c r="A447" t="s">
        <v>10</v>
      </c>
      <c r="B447" t="s">
        <v>19</v>
      </c>
      <c r="C447" t="s">
        <v>31</v>
      </c>
      <c r="D447">
        <v>8152</v>
      </c>
      <c r="E447">
        <v>2121</v>
      </c>
      <c r="F447" t="s">
        <v>32</v>
      </c>
    </row>
    <row r="448" spans="1:6" x14ac:dyDescent="0.25">
      <c r="A448" t="s">
        <v>11</v>
      </c>
      <c r="B448" t="s">
        <v>19</v>
      </c>
      <c r="C448" t="s">
        <v>24</v>
      </c>
      <c r="D448">
        <v>2007</v>
      </c>
      <c r="E448">
        <v>11357</v>
      </c>
      <c r="F448" t="s">
        <v>33</v>
      </c>
    </row>
    <row r="449" spans="1:6" x14ac:dyDescent="0.25">
      <c r="A449" t="s">
        <v>10</v>
      </c>
      <c r="B449" t="s">
        <v>17</v>
      </c>
      <c r="C449" t="s">
        <v>23</v>
      </c>
      <c r="D449">
        <v>1084</v>
      </c>
      <c r="E449">
        <v>5008</v>
      </c>
      <c r="F449" t="s">
        <v>34</v>
      </c>
    </row>
    <row r="450" spans="1:6" x14ac:dyDescent="0.25">
      <c r="A450" t="s">
        <v>8</v>
      </c>
      <c r="B450" t="s">
        <v>13</v>
      </c>
      <c r="C450" t="s">
        <v>31</v>
      </c>
      <c r="D450">
        <v>3210</v>
      </c>
      <c r="E450">
        <v>5702</v>
      </c>
      <c r="F450" t="s">
        <v>33</v>
      </c>
    </row>
    <row r="451" spans="1:6" x14ac:dyDescent="0.25">
      <c r="A451" t="s">
        <v>11</v>
      </c>
      <c r="B451" t="s">
        <v>14</v>
      </c>
      <c r="C451" t="s">
        <v>23</v>
      </c>
      <c r="D451">
        <v>1501</v>
      </c>
      <c r="E451">
        <v>7355</v>
      </c>
      <c r="F451" t="s">
        <v>32</v>
      </c>
    </row>
    <row r="452" spans="1:6" x14ac:dyDescent="0.25">
      <c r="A452" t="s">
        <v>12</v>
      </c>
      <c r="B452" t="s">
        <v>18</v>
      </c>
      <c r="C452" t="s">
        <v>23</v>
      </c>
      <c r="D452">
        <v>4246</v>
      </c>
      <c r="E452">
        <v>11701</v>
      </c>
      <c r="F452" t="s">
        <v>35</v>
      </c>
    </row>
    <row r="453" spans="1:6" x14ac:dyDescent="0.25">
      <c r="A453" t="s">
        <v>11</v>
      </c>
      <c r="B453" t="s">
        <v>17</v>
      </c>
      <c r="C453" t="s">
        <v>24</v>
      </c>
      <c r="D453">
        <v>8281</v>
      </c>
      <c r="E453">
        <v>10423</v>
      </c>
      <c r="F453" t="s">
        <v>32</v>
      </c>
    </row>
    <row r="454" spans="1:6" x14ac:dyDescent="0.25">
      <c r="A454" t="s">
        <v>8</v>
      </c>
      <c r="B454" t="s">
        <v>13</v>
      </c>
      <c r="C454" t="s">
        <v>22</v>
      </c>
      <c r="D454">
        <v>3380</v>
      </c>
      <c r="E454">
        <v>11796</v>
      </c>
      <c r="F454" t="s">
        <v>32</v>
      </c>
    </row>
    <row r="455" spans="1:6" x14ac:dyDescent="0.25">
      <c r="A455" t="s">
        <v>6</v>
      </c>
      <c r="B455" t="s">
        <v>17</v>
      </c>
      <c r="C455" t="s">
        <v>21</v>
      </c>
      <c r="D455">
        <v>7645</v>
      </c>
      <c r="E455">
        <v>1301</v>
      </c>
      <c r="F455" t="s">
        <v>34</v>
      </c>
    </row>
    <row r="456" spans="1:6" x14ac:dyDescent="0.25">
      <c r="A456" t="s">
        <v>9</v>
      </c>
      <c r="B456" t="s">
        <v>18</v>
      </c>
      <c r="C456" t="s">
        <v>26</v>
      </c>
      <c r="D456">
        <v>7758</v>
      </c>
      <c r="E456">
        <v>1404</v>
      </c>
    </row>
    <row r="457" spans="1:6" x14ac:dyDescent="0.25">
      <c r="A457" t="s">
        <v>7</v>
      </c>
      <c r="B457" t="s">
        <v>14</v>
      </c>
      <c r="C457" t="s">
        <v>26</v>
      </c>
      <c r="D457">
        <v>3058</v>
      </c>
      <c r="E457">
        <v>4818</v>
      </c>
      <c r="F457" t="s">
        <v>32</v>
      </c>
    </row>
    <row r="458" spans="1:6" x14ac:dyDescent="0.25">
      <c r="A458" t="s">
        <v>6</v>
      </c>
      <c r="B458" t="s">
        <v>14</v>
      </c>
      <c r="C458" t="s">
        <v>20</v>
      </c>
      <c r="D458">
        <v>5798</v>
      </c>
      <c r="E458">
        <v>1833</v>
      </c>
    </row>
    <row r="459" spans="1:6" x14ac:dyDescent="0.25">
      <c r="A459" t="s">
        <v>12</v>
      </c>
      <c r="B459" t="s">
        <v>18</v>
      </c>
      <c r="C459" t="s">
        <v>25</v>
      </c>
      <c r="D459">
        <v>5827</v>
      </c>
      <c r="E459">
        <v>3418</v>
      </c>
      <c r="F459" t="s">
        <v>34</v>
      </c>
    </row>
    <row r="460" spans="1:6" x14ac:dyDescent="0.25">
      <c r="A460" t="s">
        <v>6</v>
      </c>
      <c r="B460" t="s">
        <v>17</v>
      </c>
      <c r="C460" t="s">
        <v>25</v>
      </c>
      <c r="D460">
        <v>1353</v>
      </c>
      <c r="E460">
        <v>5797</v>
      </c>
      <c r="F460" t="s">
        <v>35</v>
      </c>
    </row>
    <row r="461" spans="1:6" x14ac:dyDescent="0.25">
      <c r="A461" t="s">
        <v>12</v>
      </c>
      <c r="B461" t="s">
        <v>13</v>
      </c>
      <c r="C461" t="s">
        <v>30</v>
      </c>
      <c r="D461">
        <v>7071</v>
      </c>
      <c r="E461">
        <v>4164</v>
      </c>
      <c r="F461" t="s">
        <v>35</v>
      </c>
    </row>
    <row r="462" spans="1:6" x14ac:dyDescent="0.25">
      <c r="A462" t="s">
        <v>8</v>
      </c>
      <c r="B462" t="s">
        <v>16</v>
      </c>
      <c r="C462" t="s">
        <v>31</v>
      </c>
      <c r="D462">
        <v>6269</v>
      </c>
      <c r="E462">
        <v>2736</v>
      </c>
      <c r="F462" t="s">
        <v>34</v>
      </c>
    </row>
    <row r="463" spans="1:6" x14ac:dyDescent="0.25">
      <c r="A463" t="s">
        <v>7</v>
      </c>
      <c r="B463" t="s">
        <v>15</v>
      </c>
      <c r="C463" t="s">
        <v>20</v>
      </c>
      <c r="D463">
        <v>8006</v>
      </c>
      <c r="E463">
        <v>2783</v>
      </c>
      <c r="F463" t="s">
        <v>33</v>
      </c>
    </row>
    <row r="464" spans="1:6" x14ac:dyDescent="0.25">
      <c r="A464" t="s">
        <v>7</v>
      </c>
      <c r="B464" t="s">
        <v>16</v>
      </c>
      <c r="C464" t="s">
        <v>28</v>
      </c>
      <c r="D464">
        <v>6914</v>
      </c>
      <c r="E464">
        <v>6681</v>
      </c>
      <c r="F464" t="s">
        <v>35</v>
      </c>
    </row>
    <row r="465" spans="1:6" x14ac:dyDescent="0.25">
      <c r="A465" t="s">
        <v>7</v>
      </c>
      <c r="B465" t="s">
        <v>16</v>
      </c>
      <c r="C465" t="s">
        <v>27</v>
      </c>
      <c r="D465">
        <v>1957</v>
      </c>
      <c r="E465">
        <v>4990</v>
      </c>
      <c r="F465" t="s">
        <v>35</v>
      </c>
    </row>
    <row r="466" spans="1:6" x14ac:dyDescent="0.25">
      <c r="A466" t="s">
        <v>6</v>
      </c>
      <c r="B466" t="s">
        <v>18</v>
      </c>
      <c r="C466" t="s">
        <v>28</v>
      </c>
      <c r="D466">
        <v>6803</v>
      </c>
      <c r="E466">
        <v>1195</v>
      </c>
      <c r="F466" t="s">
        <v>33</v>
      </c>
    </row>
    <row r="467" spans="1:6" x14ac:dyDescent="0.25">
      <c r="A467" t="s">
        <v>10</v>
      </c>
      <c r="B467" t="s">
        <v>13</v>
      </c>
      <c r="C467" t="s">
        <v>28</v>
      </c>
      <c r="D467">
        <v>8063</v>
      </c>
      <c r="E467">
        <v>9253</v>
      </c>
      <c r="F467" t="s">
        <v>35</v>
      </c>
    </row>
    <row r="468" spans="1:6" x14ac:dyDescent="0.25">
      <c r="A468" t="s">
        <v>6</v>
      </c>
      <c r="B468" t="s">
        <v>15</v>
      </c>
      <c r="C468" t="s">
        <v>23</v>
      </c>
      <c r="D468">
        <v>1143</v>
      </c>
      <c r="E468">
        <v>10601</v>
      </c>
      <c r="F468" t="s">
        <v>34</v>
      </c>
    </row>
    <row r="469" spans="1:6" x14ac:dyDescent="0.25">
      <c r="A469" t="s">
        <v>11</v>
      </c>
      <c r="B469" t="s">
        <v>16</v>
      </c>
      <c r="C469" t="s">
        <v>27</v>
      </c>
      <c r="D469">
        <v>7332</v>
      </c>
      <c r="E469">
        <v>8355</v>
      </c>
      <c r="F469" t="s">
        <v>34</v>
      </c>
    </row>
    <row r="470" spans="1:6" x14ac:dyDescent="0.25">
      <c r="A470" t="s">
        <v>6</v>
      </c>
      <c r="B470" t="s">
        <v>15</v>
      </c>
      <c r="C470" t="s">
        <v>31</v>
      </c>
      <c r="D470">
        <v>7955</v>
      </c>
      <c r="E470">
        <v>1038</v>
      </c>
      <c r="F470" t="s">
        <v>33</v>
      </c>
    </row>
    <row r="471" spans="1:6" x14ac:dyDescent="0.25">
      <c r="A471" t="s">
        <v>8</v>
      </c>
      <c r="B471" t="s">
        <v>17</v>
      </c>
      <c r="C471" t="s">
        <v>28</v>
      </c>
      <c r="D471">
        <v>7477</v>
      </c>
      <c r="E471">
        <v>2714</v>
      </c>
    </row>
    <row r="472" spans="1:6" x14ac:dyDescent="0.25">
      <c r="A472" t="s">
        <v>12</v>
      </c>
      <c r="B472" t="s">
        <v>14</v>
      </c>
      <c r="C472" t="s">
        <v>23</v>
      </c>
      <c r="D472">
        <v>1696</v>
      </c>
      <c r="E472">
        <v>6119</v>
      </c>
      <c r="F472" t="s">
        <v>33</v>
      </c>
    </row>
    <row r="473" spans="1:6" x14ac:dyDescent="0.25">
      <c r="A473" t="s">
        <v>9</v>
      </c>
      <c r="B473" t="s">
        <v>13</v>
      </c>
      <c r="C473" t="s">
        <v>30</v>
      </c>
      <c r="D473">
        <v>6900</v>
      </c>
      <c r="E473">
        <v>8010</v>
      </c>
      <c r="F473" t="s">
        <v>34</v>
      </c>
    </row>
    <row r="474" spans="1:6" x14ac:dyDescent="0.25">
      <c r="A474" t="s">
        <v>9</v>
      </c>
      <c r="B474" t="s">
        <v>14</v>
      </c>
      <c r="C474" t="s">
        <v>22</v>
      </c>
      <c r="D474">
        <v>6130</v>
      </c>
      <c r="E474">
        <v>11438</v>
      </c>
      <c r="F474" t="s">
        <v>35</v>
      </c>
    </row>
    <row r="475" spans="1:6" x14ac:dyDescent="0.25">
      <c r="A475" t="s">
        <v>12</v>
      </c>
      <c r="B475" t="s">
        <v>15</v>
      </c>
      <c r="C475" t="s">
        <v>22</v>
      </c>
      <c r="D475">
        <v>8178</v>
      </c>
      <c r="E475">
        <v>9511</v>
      </c>
      <c r="F475" t="s">
        <v>33</v>
      </c>
    </row>
    <row r="476" spans="1:6" x14ac:dyDescent="0.25">
      <c r="A476" t="s">
        <v>11</v>
      </c>
      <c r="B476" t="s">
        <v>19</v>
      </c>
      <c r="C476" t="s">
        <v>20</v>
      </c>
      <c r="D476">
        <v>3994</v>
      </c>
      <c r="E476">
        <v>1829</v>
      </c>
      <c r="F476" t="s">
        <v>32</v>
      </c>
    </row>
    <row r="477" spans="1:6" x14ac:dyDescent="0.25">
      <c r="A477" t="s">
        <v>8</v>
      </c>
      <c r="B477" t="s">
        <v>19</v>
      </c>
      <c r="C477" t="s">
        <v>30</v>
      </c>
      <c r="D477">
        <v>3737</v>
      </c>
      <c r="E477">
        <v>8005</v>
      </c>
    </row>
    <row r="478" spans="1:6" x14ac:dyDescent="0.25">
      <c r="A478" t="s">
        <v>8</v>
      </c>
      <c r="B478" t="s">
        <v>17</v>
      </c>
      <c r="C478" t="s">
        <v>20</v>
      </c>
      <c r="D478">
        <v>6107</v>
      </c>
      <c r="E478">
        <v>2584</v>
      </c>
    </row>
    <row r="479" spans="1:6" x14ac:dyDescent="0.25">
      <c r="A479" t="s">
        <v>8</v>
      </c>
      <c r="B479" t="s">
        <v>15</v>
      </c>
      <c r="C479" t="s">
        <v>23</v>
      </c>
      <c r="D479">
        <v>7651</v>
      </c>
      <c r="E479">
        <v>5056</v>
      </c>
      <c r="F479" t="s">
        <v>35</v>
      </c>
    </row>
    <row r="480" spans="1:6" x14ac:dyDescent="0.25">
      <c r="A480" t="s">
        <v>6</v>
      </c>
      <c r="B480" t="s">
        <v>18</v>
      </c>
      <c r="C480" t="s">
        <v>22</v>
      </c>
      <c r="D480">
        <v>8276</v>
      </c>
      <c r="E480">
        <v>4762</v>
      </c>
      <c r="F480" t="s">
        <v>35</v>
      </c>
    </row>
    <row r="481" spans="1:6" x14ac:dyDescent="0.25">
      <c r="A481" t="s">
        <v>9</v>
      </c>
      <c r="B481" t="s">
        <v>13</v>
      </c>
      <c r="C481" t="s">
        <v>25</v>
      </c>
      <c r="D481">
        <v>2705</v>
      </c>
      <c r="E481">
        <v>6795</v>
      </c>
      <c r="F481" t="s">
        <v>33</v>
      </c>
    </row>
    <row r="482" spans="1:6" x14ac:dyDescent="0.25">
      <c r="A482" t="s">
        <v>11</v>
      </c>
      <c r="B482" t="s">
        <v>14</v>
      </c>
      <c r="C482" t="s">
        <v>22</v>
      </c>
      <c r="D482">
        <v>1579</v>
      </c>
      <c r="E482">
        <v>5194</v>
      </c>
      <c r="F482" t="s">
        <v>35</v>
      </c>
    </row>
    <row r="483" spans="1:6" x14ac:dyDescent="0.25">
      <c r="A483" t="s">
        <v>6</v>
      </c>
      <c r="B483" t="s">
        <v>16</v>
      </c>
      <c r="C483" t="s">
        <v>28</v>
      </c>
      <c r="D483">
        <v>7507</v>
      </c>
      <c r="E483">
        <v>8572</v>
      </c>
      <c r="F483" t="s">
        <v>34</v>
      </c>
    </row>
    <row r="484" spans="1:6" x14ac:dyDescent="0.25">
      <c r="A484" t="s">
        <v>12</v>
      </c>
      <c r="B484" t="s">
        <v>13</v>
      </c>
      <c r="C484" t="s">
        <v>25</v>
      </c>
      <c r="D484">
        <v>1308</v>
      </c>
      <c r="E484">
        <v>5012</v>
      </c>
      <c r="F484" t="s">
        <v>35</v>
      </c>
    </row>
    <row r="485" spans="1:6" x14ac:dyDescent="0.25">
      <c r="A485" t="s">
        <v>7</v>
      </c>
      <c r="B485" t="s">
        <v>18</v>
      </c>
      <c r="C485" t="s">
        <v>29</v>
      </c>
      <c r="D485">
        <v>5888</v>
      </c>
      <c r="E485">
        <v>4554</v>
      </c>
    </row>
    <row r="486" spans="1:6" x14ac:dyDescent="0.25">
      <c r="A486" t="s">
        <v>8</v>
      </c>
      <c r="B486" t="s">
        <v>17</v>
      </c>
      <c r="C486" t="s">
        <v>27</v>
      </c>
      <c r="D486">
        <v>2573</v>
      </c>
      <c r="E486">
        <v>4130</v>
      </c>
      <c r="F486" t="s">
        <v>35</v>
      </c>
    </row>
    <row r="487" spans="1:6" x14ac:dyDescent="0.25">
      <c r="A487" t="s">
        <v>12</v>
      </c>
      <c r="B487" t="s">
        <v>19</v>
      </c>
      <c r="C487" t="s">
        <v>26</v>
      </c>
      <c r="D487">
        <v>9654</v>
      </c>
      <c r="E487">
        <v>5760</v>
      </c>
      <c r="F487" t="s">
        <v>35</v>
      </c>
    </row>
    <row r="488" spans="1:6" x14ac:dyDescent="0.25">
      <c r="A488" t="s">
        <v>10</v>
      </c>
      <c r="B488" t="s">
        <v>16</v>
      </c>
      <c r="C488" t="s">
        <v>21</v>
      </c>
      <c r="D488">
        <v>8458</v>
      </c>
      <c r="E488">
        <v>4565</v>
      </c>
      <c r="F488" t="s">
        <v>33</v>
      </c>
    </row>
    <row r="489" spans="1:6" x14ac:dyDescent="0.25">
      <c r="A489" t="s">
        <v>9</v>
      </c>
      <c r="B489" t="s">
        <v>14</v>
      </c>
      <c r="C489" t="s">
        <v>26</v>
      </c>
      <c r="D489">
        <v>6875</v>
      </c>
      <c r="E489">
        <v>3905</v>
      </c>
    </row>
    <row r="490" spans="1:6" x14ac:dyDescent="0.25">
      <c r="A490" t="s">
        <v>11</v>
      </c>
      <c r="B490" t="s">
        <v>13</v>
      </c>
      <c r="C490" t="s">
        <v>29</v>
      </c>
      <c r="D490">
        <v>8199</v>
      </c>
      <c r="E490">
        <v>2334</v>
      </c>
      <c r="F490" t="s">
        <v>33</v>
      </c>
    </row>
    <row r="491" spans="1:6" x14ac:dyDescent="0.25">
      <c r="A491" t="s">
        <v>12</v>
      </c>
      <c r="B491" t="s">
        <v>17</v>
      </c>
      <c r="C491" t="s">
        <v>31</v>
      </c>
      <c r="D491">
        <v>3506</v>
      </c>
      <c r="E491">
        <v>10767</v>
      </c>
      <c r="F491" t="s">
        <v>34</v>
      </c>
    </row>
    <row r="492" spans="1:6" x14ac:dyDescent="0.25">
      <c r="A492" t="s">
        <v>11</v>
      </c>
      <c r="B492" t="s">
        <v>16</v>
      </c>
      <c r="C492" t="s">
        <v>28</v>
      </c>
      <c r="D492">
        <v>8504</v>
      </c>
      <c r="E492">
        <v>7247</v>
      </c>
    </row>
    <row r="493" spans="1:6" x14ac:dyDescent="0.25">
      <c r="A493" t="s">
        <v>10</v>
      </c>
      <c r="B493" t="s">
        <v>14</v>
      </c>
      <c r="C493" t="s">
        <v>25</v>
      </c>
      <c r="D493">
        <v>4924</v>
      </c>
      <c r="E493">
        <v>2580</v>
      </c>
      <c r="F493" t="s">
        <v>32</v>
      </c>
    </row>
    <row r="494" spans="1:6" x14ac:dyDescent="0.25">
      <c r="A494" t="s">
        <v>7</v>
      </c>
      <c r="B494" t="s">
        <v>14</v>
      </c>
      <c r="C494" t="s">
        <v>22</v>
      </c>
      <c r="D494">
        <v>8293</v>
      </c>
      <c r="E494">
        <v>8071</v>
      </c>
      <c r="F494" t="s">
        <v>34</v>
      </c>
    </row>
    <row r="495" spans="1:6" x14ac:dyDescent="0.25">
      <c r="A495" t="s">
        <v>9</v>
      </c>
      <c r="B495" t="s">
        <v>13</v>
      </c>
      <c r="C495" t="s">
        <v>23</v>
      </c>
      <c r="D495">
        <v>2366</v>
      </c>
      <c r="E495">
        <v>8083</v>
      </c>
      <c r="F495" t="s">
        <v>34</v>
      </c>
    </row>
    <row r="496" spans="1:6" x14ac:dyDescent="0.25">
      <c r="A496" t="s">
        <v>11</v>
      </c>
      <c r="B496" t="s">
        <v>13</v>
      </c>
      <c r="C496" t="s">
        <v>21</v>
      </c>
      <c r="D496">
        <v>1055</v>
      </c>
      <c r="E496">
        <v>7854</v>
      </c>
      <c r="F496" t="s">
        <v>33</v>
      </c>
    </row>
    <row r="497" spans="1:6" x14ac:dyDescent="0.25">
      <c r="A497" t="s">
        <v>11</v>
      </c>
      <c r="B497" t="s">
        <v>14</v>
      </c>
      <c r="C497" t="s">
        <v>21</v>
      </c>
      <c r="D497">
        <v>5784</v>
      </c>
      <c r="E497">
        <v>11503</v>
      </c>
    </row>
    <row r="498" spans="1:6" x14ac:dyDescent="0.25">
      <c r="A498" t="s">
        <v>11</v>
      </c>
      <c r="B498" t="s">
        <v>17</v>
      </c>
      <c r="C498" t="s">
        <v>29</v>
      </c>
      <c r="D498">
        <v>8638</v>
      </c>
      <c r="E498">
        <v>7748</v>
      </c>
      <c r="F498" t="s">
        <v>33</v>
      </c>
    </row>
    <row r="499" spans="1:6" x14ac:dyDescent="0.25">
      <c r="A499" t="s">
        <v>6</v>
      </c>
      <c r="B499" t="s">
        <v>15</v>
      </c>
      <c r="C499" t="s">
        <v>31</v>
      </c>
      <c r="D499">
        <v>5719</v>
      </c>
      <c r="E499">
        <v>2390</v>
      </c>
      <c r="F499" t="s">
        <v>32</v>
      </c>
    </row>
    <row r="500" spans="1:6" x14ac:dyDescent="0.25">
      <c r="A500" t="s">
        <v>9</v>
      </c>
      <c r="B500" t="s">
        <v>17</v>
      </c>
      <c r="C500" t="s">
        <v>24</v>
      </c>
      <c r="D500">
        <v>8122</v>
      </c>
      <c r="E500">
        <v>4536</v>
      </c>
      <c r="F500" t="s">
        <v>34</v>
      </c>
    </row>
    <row r="501" spans="1:6" x14ac:dyDescent="0.25">
      <c r="A501" t="s">
        <v>6</v>
      </c>
      <c r="B501" t="s">
        <v>18</v>
      </c>
      <c r="C501" t="s">
        <v>26</v>
      </c>
      <c r="D501">
        <v>9498</v>
      </c>
      <c r="E501">
        <v>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7DDC-FDA5-4040-80CC-BD7710FD5836}">
  <dimension ref="A1:M501"/>
  <sheetViews>
    <sheetView tabSelected="1" workbookViewId="0">
      <selection activeCell="E2" sqref="E2"/>
    </sheetView>
  </sheetViews>
  <sheetFormatPr defaultRowHeight="15" x14ac:dyDescent="0.25"/>
  <cols>
    <col min="1" max="1" width="14.140625" customWidth="1"/>
    <col min="2" max="2" width="10.7109375" bestFit="1" customWidth="1"/>
    <col min="3" max="3" width="10.85546875" bestFit="1" customWidth="1"/>
    <col min="4" max="4" width="18.140625" bestFit="1" customWidth="1"/>
    <col min="5" max="5" width="15.5703125" bestFit="1" customWidth="1"/>
    <col min="6" max="6" width="15.5703125" customWidth="1"/>
    <col min="7" max="7" width="16.5703125" bestFit="1" customWidth="1"/>
    <col min="10" max="10" width="14.85546875" bestFit="1" customWidth="1"/>
    <col min="11" max="11" width="23.140625" bestFit="1" customWidth="1"/>
    <col min="12" max="12" width="20.5703125" bestFit="1" customWidth="1"/>
    <col min="13" max="497" width="5" bestFit="1" customWidth="1"/>
    <col min="498" max="498" width="11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47</v>
      </c>
      <c r="G1" s="1" t="s">
        <v>5</v>
      </c>
    </row>
    <row r="2" spans="1:13" x14ac:dyDescent="0.25">
      <c r="A2" s="7" t="s">
        <v>6</v>
      </c>
      <c r="B2" s="7" t="s">
        <v>13</v>
      </c>
      <c r="C2" s="7" t="s">
        <v>20</v>
      </c>
      <c r="D2" s="7">
        <v>8741</v>
      </c>
      <c r="E2" s="7">
        <v>11391</v>
      </c>
      <c r="F2" s="7" t="str">
        <f>IF(E2&lt;=D2,"On Budget","Over Budget")</f>
        <v>Over Budget</v>
      </c>
      <c r="G2" s="7"/>
      <c r="H2">
        <f>E2/D2</f>
        <v>1.3031689738016246</v>
      </c>
      <c r="J2" s="6" t="s">
        <v>51</v>
      </c>
      <c r="K2" s="7" t="s">
        <v>49</v>
      </c>
      <c r="L2" s="7" t="s">
        <v>50</v>
      </c>
    </row>
    <row r="3" spans="1:13" x14ac:dyDescent="0.25">
      <c r="A3" s="7" t="s">
        <v>7</v>
      </c>
      <c r="B3" s="7" t="s">
        <v>14</v>
      </c>
      <c r="C3" s="7" t="s">
        <v>21</v>
      </c>
      <c r="D3" s="7">
        <v>9315</v>
      </c>
      <c r="E3" s="7">
        <v>2115</v>
      </c>
      <c r="F3" s="7" t="str">
        <f t="shared" ref="F3:F66" si="0">IF(E3&lt;=D3,"On Budget","Over Budget")</f>
        <v>On Budget</v>
      </c>
      <c r="G3" s="7" t="s">
        <v>32</v>
      </c>
      <c r="J3" s="8" t="s">
        <v>12</v>
      </c>
      <c r="K3" s="9">
        <v>432667</v>
      </c>
      <c r="L3" s="9">
        <v>468209</v>
      </c>
      <c r="M3" s="5"/>
    </row>
    <row r="4" spans="1:13" x14ac:dyDescent="0.25">
      <c r="A4" s="7" t="s">
        <v>8</v>
      </c>
      <c r="B4" s="7" t="s">
        <v>14</v>
      </c>
      <c r="C4" s="7" t="s">
        <v>22</v>
      </c>
      <c r="D4" s="7">
        <v>5713</v>
      </c>
      <c r="E4" s="7">
        <v>2833</v>
      </c>
      <c r="F4" s="7" t="str">
        <f t="shared" si="0"/>
        <v>On Budget</v>
      </c>
      <c r="G4" s="7" t="s">
        <v>33</v>
      </c>
      <c r="J4" s="8" t="s">
        <v>6</v>
      </c>
      <c r="K4" s="9">
        <v>439309</v>
      </c>
      <c r="L4" s="9">
        <v>493937</v>
      </c>
      <c r="M4" s="5"/>
    </row>
    <row r="5" spans="1:13" x14ac:dyDescent="0.25">
      <c r="A5" s="7" t="s">
        <v>9</v>
      </c>
      <c r="B5" s="7" t="s">
        <v>13</v>
      </c>
      <c r="C5" s="7" t="s">
        <v>23</v>
      </c>
      <c r="D5" s="7">
        <v>4220</v>
      </c>
      <c r="E5" s="7">
        <v>1659</v>
      </c>
      <c r="F5" s="7" t="str">
        <f t="shared" si="0"/>
        <v>On Budget</v>
      </c>
      <c r="G5" s="7" t="s">
        <v>32</v>
      </c>
      <c r="J5" s="8" t="s">
        <v>9</v>
      </c>
      <c r="K5" s="9">
        <v>427757</v>
      </c>
      <c r="L5" s="9">
        <v>485443</v>
      </c>
      <c r="M5" s="5"/>
    </row>
    <row r="6" spans="1:13" x14ac:dyDescent="0.25">
      <c r="A6" s="7" t="s">
        <v>9</v>
      </c>
      <c r="B6" s="7" t="s">
        <v>14</v>
      </c>
      <c r="C6" s="7" t="s">
        <v>24</v>
      </c>
      <c r="D6" s="7">
        <v>8871</v>
      </c>
      <c r="E6" s="7">
        <v>9947</v>
      </c>
      <c r="F6" s="7" t="str">
        <f t="shared" si="0"/>
        <v>Over Budget</v>
      </c>
      <c r="G6" s="7" t="s">
        <v>34</v>
      </c>
      <c r="J6" s="8" t="s">
        <v>8</v>
      </c>
      <c r="K6" s="9">
        <v>353332</v>
      </c>
      <c r="L6" s="9">
        <v>438863</v>
      </c>
      <c r="M6" s="5"/>
    </row>
    <row r="7" spans="1:13" x14ac:dyDescent="0.25">
      <c r="A7" s="7" t="s">
        <v>6</v>
      </c>
      <c r="B7" s="7" t="s">
        <v>13</v>
      </c>
      <c r="C7" s="7" t="s">
        <v>25</v>
      </c>
      <c r="D7" s="7">
        <v>6152</v>
      </c>
      <c r="E7" s="7">
        <v>5026</v>
      </c>
      <c r="F7" s="7" t="str">
        <f t="shared" si="0"/>
        <v>On Budget</v>
      </c>
      <c r="G7" s="7" t="s">
        <v>34</v>
      </c>
      <c r="J7" s="8" t="s">
        <v>10</v>
      </c>
      <c r="K7" s="9">
        <v>374352</v>
      </c>
      <c r="L7" s="9">
        <v>429653</v>
      </c>
      <c r="M7" s="5"/>
    </row>
    <row r="8" spans="1:13" x14ac:dyDescent="0.25">
      <c r="A8" s="7" t="s">
        <v>7</v>
      </c>
      <c r="B8" s="7" t="s">
        <v>14</v>
      </c>
      <c r="C8" s="7" t="s">
        <v>26</v>
      </c>
      <c r="D8" s="7">
        <v>9906</v>
      </c>
      <c r="E8" s="7">
        <v>4649</v>
      </c>
      <c r="F8" s="7" t="str">
        <f t="shared" si="0"/>
        <v>On Budget</v>
      </c>
      <c r="G8" s="7" t="s">
        <v>34</v>
      </c>
      <c r="J8" s="8" t="s">
        <v>11</v>
      </c>
      <c r="K8" s="9">
        <v>357993</v>
      </c>
      <c r="L8" s="9">
        <v>454227</v>
      </c>
      <c r="M8" s="5"/>
    </row>
    <row r="9" spans="1:13" x14ac:dyDescent="0.25">
      <c r="A9" s="7" t="s">
        <v>8</v>
      </c>
      <c r="B9" s="7" t="s">
        <v>13</v>
      </c>
      <c r="C9" s="7" t="s">
        <v>20</v>
      </c>
      <c r="D9" s="7">
        <v>9187</v>
      </c>
      <c r="E9" s="7">
        <v>4834</v>
      </c>
      <c r="F9" s="7" t="str">
        <f t="shared" si="0"/>
        <v>On Budget</v>
      </c>
      <c r="G9" s="7"/>
      <c r="J9" s="8" t="s">
        <v>7</v>
      </c>
      <c r="K9" s="9">
        <v>371246</v>
      </c>
      <c r="L9" s="9">
        <v>411288</v>
      </c>
      <c r="M9" s="5"/>
    </row>
    <row r="10" spans="1:13" x14ac:dyDescent="0.25">
      <c r="A10" s="7" t="s">
        <v>10</v>
      </c>
      <c r="B10" s="7" t="s">
        <v>15</v>
      </c>
      <c r="C10" s="7" t="s">
        <v>27</v>
      </c>
      <c r="D10" s="7">
        <v>9113</v>
      </c>
      <c r="E10" s="7">
        <v>3132</v>
      </c>
      <c r="F10" s="7" t="str">
        <f t="shared" si="0"/>
        <v>On Budget</v>
      </c>
      <c r="G10" s="7" t="s">
        <v>34</v>
      </c>
      <c r="J10" s="8" t="s">
        <v>52</v>
      </c>
      <c r="K10" s="9"/>
      <c r="L10" s="9"/>
      <c r="M10" s="5"/>
    </row>
    <row r="11" spans="1:13" x14ac:dyDescent="0.25">
      <c r="A11" s="7" t="s">
        <v>7</v>
      </c>
      <c r="B11" s="7" t="s">
        <v>16</v>
      </c>
      <c r="C11" s="7" t="s">
        <v>28</v>
      </c>
      <c r="D11" s="7">
        <v>2972</v>
      </c>
      <c r="E11" s="7">
        <v>8038</v>
      </c>
      <c r="F11" s="7" t="str">
        <f t="shared" si="0"/>
        <v>Over Budget</v>
      </c>
      <c r="G11" s="7" t="s">
        <v>32</v>
      </c>
      <c r="J11" s="8" t="s">
        <v>48</v>
      </c>
      <c r="K11" s="9">
        <v>2756656</v>
      </c>
      <c r="L11" s="9">
        <v>3181620</v>
      </c>
      <c r="M11" s="5"/>
    </row>
    <row r="12" spans="1:13" x14ac:dyDescent="0.25">
      <c r="A12" s="7" t="s">
        <v>8</v>
      </c>
      <c r="B12" s="7" t="s">
        <v>13</v>
      </c>
      <c r="C12" s="7" t="s">
        <v>26</v>
      </c>
      <c r="D12" s="7">
        <v>4703</v>
      </c>
      <c r="E12" s="7">
        <v>2005</v>
      </c>
      <c r="F12" s="7" t="str">
        <f t="shared" si="0"/>
        <v>On Budget</v>
      </c>
      <c r="G12" s="7" t="s">
        <v>32</v>
      </c>
    </row>
    <row r="13" spans="1:13" x14ac:dyDescent="0.25">
      <c r="A13" s="7" t="s">
        <v>11</v>
      </c>
      <c r="B13" s="7" t="s">
        <v>16</v>
      </c>
      <c r="C13" s="7" t="s">
        <v>23</v>
      </c>
      <c r="D13" s="7">
        <v>2819</v>
      </c>
      <c r="E13" s="7">
        <v>2626</v>
      </c>
      <c r="F13" s="7" t="str">
        <f t="shared" si="0"/>
        <v>On Budget</v>
      </c>
      <c r="G13" s="7" t="s">
        <v>33</v>
      </c>
    </row>
    <row r="14" spans="1:13" x14ac:dyDescent="0.25">
      <c r="A14" s="7" t="s">
        <v>11</v>
      </c>
      <c r="B14" s="7" t="s">
        <v>17</v>
      </c>
      <c r="C14" s="7" t="s">
        <v>22</v>
      </c>
      <c r="D14" s="7">
        <v>2687</v>
      </c>
      <c r="E14" s="7">
        <v>2320</v>
      </c>
      <c r="F14" s="7" t="str">
        <f t="shared" si="0"/>
        <v>On Budget</v>
      </c>
      <c r="G14" s="7"/>
    </row>
    <row r="15" spans="1:13" x14ac:dyDescent="0.25">
      <c r="A15" s="7" t="s">
        <v>10</v>
      </c>
      <c r="B15" s="7" t="s">
        <v>16</v>
      </c>
      <c r="C15" s="7" t="s">
        <v>24</v>
      </c>
      <c r="D15" s="7">
        <v>3954</v>
      </c>
      <c r="E15" s="7">
        <v>11660</v>
      </c>
      <c r="F15" s="7" t="str">
        <f t="shared" si="0"/>
        <v>Over Budget</v>
      </c>
      <c r="G15" s="7"/>
    </row>
    <row r="16" spans="1:13" x14ac:dyDescent="0.25">
      <c r="A16" s="7" t="s">
        <v>8</v>
      </c>
      <c r="B16" s="7" t="s">
        <v>16</v>
      </c>
      <c r="C16" s="7" t="s">
        <v>29</v>
      </c>
      <c r="D16" s="7">
        <v>1888</v>
      </c>
      <c r="E16" s="7">
        <v>2168</v>
      </c>
      <c r="F16" s="7" t="str">
        <f t="shared" si="0"/>
        <v>Over Budget</v>
      </c>
      <c r="G16" s="7" t="s">
        <v>35</v>
      </c>
    </row>
    <row r="17" spans="1:7" x14ac:dyDescent="0.25">
      <c r="A17" s="7" t="s">
        <v>6</v>
      </c>
      <c r="B17" s="7" t="s">
        <v>15</v>
      </c>
      <c r="C17" s="7" t="s">
        <v>25</v>
      </c>
      <c r="D17" s="7">
        <v>3935</v>
      </c>
      <c r="E17" s="7">
        <v>9025</v>
      </c>
      <c r="F17" s="7" t="str">
        <f t="shared" si="0"/>
        <v>Over Budget</v>
      </c>
      <c r="G17" s="7" t="s">
        <v>34</v>
      </c>
    </row>
    <row r="18" spans="1:7" x14ac:dyDescent="0.25">
      <c r="A18" s="7" t="s">
        <v>10</v>
      </c>
      <c r="B18" s="7" t="s">
        <v>17</v>
      </c>
      <c r="C18" s="7" t="s">
        <v>29</v>
      </c>
      <c r="D18" s="7">
        <v>6457</v>
      </c>
      <c r="E18" s="7">
        <v>11471</v>
      </c>
      <c r="F18" s="7" t="str">
        <f t="shared" si="0"/>
        <v>Over Budget</v>
      </c>
      <c r="G18" s="7" t="s">
        <v>35</v>
      </c>
    </row>
    <row r="19" spans="1:7" x14ac:dyDescent="0.25">
      <c r="A19" s="7" t="s">
        <v>6</v>
      </c>
      <c r="B19" s="7" t="s">
        <v>13</v>
      </c>
      <c r="C19" s="7" t="s">
        <v>25</v>
      </c>
      <c r="D19" s="7">
        <v>3214</v>
      </c>
      <c r="E19" s="7">
        <v>7585</v>
      </c>
      <c r="F19" s="7" t="str">
        <f t="shared" si="0"/>
        <v>Over Budget</v>
      </c>
      <c r="G19" s="7"/>
    </row>
    <row r="20" spans="1:7" x14ac:dyDescent="0.25">
      <c r="A20" s="7" t="s">
        <v>10</v>
      </c>
      <c r="B20" s="7" t="s">
        <v>17</v>
      </c>
      <c r="C20" s="7" t="s">
        <v>29</v>
      </c>
      <c r="D20" s="7">
        <v>6642</v>
      </c>
      <c r="E20" s="7">
        <v>1610</v>
      </c>
      <c r="F20" s="7" t="str">
        <f t="shared" si="0"/>
        <v>On Budget</v>
      </c>
      <c r="G20" s="7" t="s">
        <v>32</v>
      </c>
    </row>
    <row r="21" spans="1:7" x14ac:dyDescent="0.25">
      <c r="A21" s="7" t="s">
        <v>9</v>
      </c>
      <c r="B21" s="7" t="s">
        <v>13</v>
      </c>
      <c r="C21" s="7" t="s">
        <v>27</v>
      </c>
      <c r="D21" s="7">
        <v>4614</v>
      </c>
      <c r="E21" s="7">
        <v>5264</v>
      </c>
      <c r="F21" s="7" t="str">
        <f t="shared" si="0"/>
        <v>Over Budget</v>
      </c>
      <c r="G21" s="7" t="s">
        <v>32</v>
      </c>
    </row>
    <row r="22" spans="1:7" x14ac:dyDescent="0.25">
      <c r="A22" s="7" t="s">
        <v>11</v>
      </c>
      <c r="B22" s="7" t="s">
        <v>14</v>
      </c>
      <c r="C22" s="7" t="s">
        <v>27</v>
      </c>
      <c r="D22" s="7">
        <v>9247</v>
      </c>
      <c r="E22" s="7">
        <v>6873</v>
      </c>
      <c r="F22" s="7" t="str">
        <f t="shared" si="0"/>
        <v>On Budget</v>
      </c>
      <c r="G22" s="7" t="s">
        <v>33</v>
      </c>
    </row>
    <row r="23" spans="1:7" x14ac:dyDescent="0.25">
      <c r="A23" s="7" t="s">
        <v>8</v>
      </c>
      <c r="B23" s="7" t="s">
        <v>18</v>
      </c>
      <c r="C23" s="7" t="s">
        <v>30</v>
      </c>
      <c r="D23" s="7">
        <v>6442</v>
      </c>
      <c r="E23" s="7">
        <v>5190</v>
      </c>
      <c r="F23" s="7" t="str">
        <f t="shared" si="0"/>
        <v>On Budget</v>
      </c>
      <c r="G23" s="7"/>
    </row>
    <row r="24" spans="1:7" x14ac:dyDescent="0.25">
      <c r="A24" s="7" t="s">
        <v>9</v>
      </c>
      <c r="B24" s="7" t="s">
        <v>18</v>
      </c>
      <c r="C24" s="7" t="s">
        <v>26</v>
      </c>
      <c r="D24" s="7">
        <v>6248</v>
      </c>
      <c r="E24" s="7">
        <v>4567</v>
      </c>
      <c r="F24" s="7" t="str">
        <f t="shared" si="0"/>
        <v>On Budget</v>
      </c>
      <c r="G24" s="7" t="s">
        <v>32</v>
      </c>
    </row>
    <row r="25" spans="1:7" x14ac:dyDescent="0.25">
      <c r="A25" s="7" t="s">
        <v>6</v>
      </c>
      <c r="B25" s="7" t="s">
        <v>14</v>
      </c>
      <c r="C25" s="7" t="s">
        <v>29</v>
      </c>
      <c r="D25" s="7">
        <v>6425</v>
      </c>
      <c r="E25" s="7">
        <v>4047</v>
      </c>
      <c r="F25" s="7" t="str">
        <f t="shared" si="0"/>
        <v>On Budget</v>
      </c>
      <c r="G25" s="7" t="s">
        <v>33</v>
      </c>
    </row>
    <row r="26" spans="1:7" x14ac:dyDescent="0.25">
      <c r="A26" s="7" t="s">
        <v>6</v>
      </c>
      <c r="B26" s="7" t="s">
        <v>13</v>
      </c>
      <c r="C26" s="7" t="s">
        <v>21</v>
      </c>
      <c r="D26" s="7">
        <v>8014</v>
      </c>
      <c r="E26" s="7">
        <v>10039</v>
      </c>
      <c r="F26" s="7" t="str">
        <f t="shared" si="0"/>
        <v>Over Budget</v>
      </c>
      <c r="G26" s="7" t="s">
        <v>34</v>
      </c>
    </row>
    <row r="27" spans="1:7" x14ac:dyDescent="0.25">
      <c r="A27" s="7" t="s">
        <v>12</v>
      </c>
      <c r="B27" s="7" t="s">
        <v>14</v>
      </c>
      <c r="C27" s="7" t="s">
        <v>29</v>
      </c>
      <c r="D27" s="7">
        <v>9917</v>
      </c>
      <c r="E27" s="7">
        <v>7431</v>
      </c>
      <c r="F27" s="7" t="str">
        <f t="shared" si="0"/>
        <v>On Budget</v>
      </c>
      <c r="G27" s="7" t="s">
        <v>35</v>
      </c>
    </row>
    <row r="28" spans="1:7" x14ac:dyDescent="0.25">
      <c r="A28" s="7" t="s">
        <v>10</v>
      </c>
      <c r="B28" s="7" t="s">
        <v>16</v>
      </c>
      <c r="C28" s="7" t="s">
        <v>27</v>
      </c>
      <c r="D28" s="7">
        <v>4233</v>
      </c>
      <c r="E28" s="7">
        <v>11353</v>
      </c>
      <c r="F28" s="7" t="str">
        <f t="shared" si="0"/>
        <v>Over Budget</v>
      </c>
      <c r="G28" s="7" t="s">
        <v>34</v>
      </c>
    </row>
    <row r="29" spans="1:7" x14ac:dyDescent="0.25">
      <c r="A29" s="7" t="s">
        <v>10</v>
      </c>
      <c r="B29" s="7" t="s">
        <v>16</v>
      </c>
      <c r="C29" s="7" t="s">
        <v>23</v>
      </c>
      <c r="D29" s="7">
        <v>5695</v>
      </c>
      <c r="E29" s="7">
        <v>10306</v>
      </c>
      <c r="F29" s="7" t="str">
        <f t="shared" si="0"/>
        <v>Over Budget</v>
      </c>
      <c r="G29" s="7" t="s">
        <v>35</v>
      </c>
    </row>
    <row r="30" spans="1:7" x14ac:dyDescent="0.25">
      <c r="A30" s="7" t="s">
        <v>12</v>
      </c>
      <c r="B30" s="7" t="s">
        <v>17</v>
      </c>
      <c r="C30" s="7" t="s">
        <v>22</v>
      </c>
      <c r="D30" s="7">
        <v>3664</v>
      </c>
      <c r="E30" s="7">
        <v>8157</v>
      </c>
      <c r="F30" s="7" t="str">
        <f t="shared" si="0"/>
        <v>Over Budget</v>
      </c>
      <c r="G30" s="7" t="s">
        <v>32</v>
      </c>
    </row>
    <row r="31" spans="1:7" x14ac:dyDescent="0.25">
      <c r="A31" s="7" t="s">
        <v>10</v>
      </c>
      <c r="B31" s="7" t="s">
        <v>14</v>
      </c>
      <c r="C31" s="7" t="s">
        <v>31</v>
      </c>
      <c r="D31" s="7">
        <v>1258</v>
      </c>
      <c r="E31" s="7">
        <v>11395</v>
      </c>
      <c r="F31" s="7" t="str">
        <f t="shared" si="0"/>
        <v>Over Budget</v>
      </c>
      <c r="G31" s="7" t="s">
        <v>33</v>
      </c>
    </row>
    <row r="32" spans="1:7" x14ac:dyDescent="0.25">
      <c r="A32" s="7" t="s">
        <v>9</v>
      </c>
      <c r="B32" s="7" t="s">
        <v>13</v>
      </c>
      <c r="C32" s="7" t="s">
        <v>22</v>
      </c>
      <c r="D32" s="7">
        <v>9474</v>
      </c>
      <c r="E32" s="7">
        <v>6425</v>
      </c>
      <c r="F32" s="7" t="str">
        <f t="shared" si="0"/>
        <v>On Budget</v>
      </c>
      <c r="G32" s="7" t="s">
        <v>34</v>
      </c>
    </row>
    <row r="33" spans="1:7" x14ac:dyDescent="0.25">
      <c r="A33" s="7" t="s">
        <v>12</v>
      </c>
      <c r="B33" s="7" t="s">
        <v>13</v>
      </c>
      <c r="C33" s="7" t="s">
        <v>31</v>
      </c>
      <c r="D33" s="7">
        <v>9453</v>
      </c>
      <c r="E33" s="7">
        <v>3473</v>
      </c>
      <c r="F33" s="7" t="str">
        <f t="shared" si="0"/>
        <v>On Budget</v>
      </c>
      <c r="G33" s="7" t="s">
        <v>34</v>
      </c>
    </row>
    <row r="34" spans="1:7" x14ac:dyDescent="0.25">
      <c r="A34" s="7" t="s">
        <v>10</v>
      </c>
      <c r="B34" s="7" t="s">
        <v>14</v>
      </c>
      <c r="C34" s="7" t="s">
        <v>29</v>
      </c>
      <c r="D34" s="7">
        <v>5022</v>
      </c>
      <c r="E34" s="7">
        <v>7324</v>
      </c>
      <c r="F34" s="7" t="str">
        <f t="shared" si="0"/>
        <v>Over Budget</v>
      </c>
      <c r="G34" s="7" t="s">
        <v>32</v>
      </c>
    </row>
    <row r="35" spans="1:7" x14ac:dyDescent="0.25">
      <c r="A35" s="7" t="s">
        <v>11</v>
      </c>
      <c r="B35" s="7" t="s">
        <v>19</v>
      </c>
      <c r="C35" s="7" t="s">
        <v>24</v>
      </c>
      <c r="D35" s="7">
        <v>3187</v>
      </c>
      <c r="E35" s="7">
        <v>2004</v>
      </c>
      <c r="F35" s="7" t="str">
        <f t="shared" si="0"/>
        <v>On Budget</v>
      </c>
      <c r="G35" s="7" t="s">
        <v>33</v>
      </c>
    </row>
    <row r="36" spans="1:7" x14ac:dyDescent="0.25">
      <c r="A36" s="7" t="s">
        <v>10</v>
      </c>
      <c r="B36" s="7" t="s">
        <v>18</v>
      </c>
      <c r="C36" s="7" t="s">
        <v>22</v>
      </c>
      <c r="D36" s="7">
        <v>5157</v>
      </c>
      <c r="E36" s="7">
        <v>9013</v>
      </c>
      <c r="F36" s="7" t="str">
        <f t="shared" si="0"/>
        <v>Over Budget</v>
      </c>
      <c r="G36" s="7" t="s">
        <v>35</v>
      </c>
    </row>
    <row r="37" spans="1:7" x14ac:dyDescent="0.25">
      <c r="A37" s="7" t="s">
        <v>7</v>
      </c>
      <c r="B37" s="7" t="s">
        <v>16</v>
      </c>
      <c r="C37" s="7" t="s">
        <v>21</v>
      </c>
      <c r="D37" s="7">
        <v>6167</v>
      </c>
      <c r="E37" s="7">
        <v>10425</v>
      </c>
      <c r="F37" s="7" t="str">
        <f t="shared" si="0"/>
        <v>Over Budget</v>
      </c>
      <c r="G37" s="7" t="s">
        <v>33</v>
      </c>
    </row>
    <row r="38" spans="1:7" x14ac:dyDescent="0.25">
      <c r="A38" s="7" t="s">
        <v>8</v>
      </c>
      <c r="B38" s="7" t="s">
        <v>17</v>
      </c>
      <c r="C38" s="7" t="s">
        <v>20</v>
      </c>
      <c r="D38" s="7">
        <v>3598</v>
      </c>
      <c r="E38" s="7">
        <v>6920</v>
      </c>
      <c r="F38" s="7" t="str">
        <f t="shared" si="0"/>
        <v>Over Budget</v>
      </c>
      <c r="G38" s="7"/>
    </row>
    <row r="39" spans="1:7" x14ac:dyDescent="0.25">
      <c r="A39" s="7" t="s">
        <v>8</v>
      </c>
      <c r="B39" s="7" t="s">
        <v>19</v>
      </c>
      <c r="C39" s="7" t="s">
        <v>21</v>
      </c>
      <c r="D39" s="7">
        <v>8265</v>
      </c>
      <c r="E39" s="7">
        <v>11479</v>
      </c>
      <c r="F39" s="7" t="str">
        <f t="shared" si="0"/>
        <v>Over Budget</v>
      </c>
      <c r="G39" s="7" t="s">
        <v>34</v>
      </c>
    </row>
    <row r="40" spans="1:7" x14ac:dyDescent="0.25">
      <c r="A40" s="7" t="s">
        <v>6</v>
      </c>
      <c r="B40" s="7" t="s">
        <v>15</v>
      </c>
      <c r="C40" s="7" t="s">
        <v>24</v>
      </c>
      <c r="D40" s="7">
        <v>2556</v>
      </c>
      <c r="E40" s="7">
        <v>5661</v>
      </c>
      <c r="F40" s="7" t="str">
        <f t="shared" si="0"/>
        <v>Over Budget</v>
      </c>
      <c r="G40" s="7" t="s">
        <v>32</v>
      </c>
    </row>
    <row r="41" spans="1:7" x14ac:dyDescent="0.25">
      <c r="A41" s="7" t="s">
        <v>8</v>
      </c>
      <c r="B41" s="7" t="s">
        <v>18</v>
      </c>
      <c r="C41" s="7" t="s">
        <v>25</v>
      </c>
      <c r="D41" s="7">
        <v>6507</v>
      </c>
      <c r="E41" s="7">
        <v>6605</v>
      </c>
      <c r="F41" s="7" t="str">
        <f t="shared" si="0"/>
        <v>Over Budget</v>
      </c>
      <c r="G41" s="7" t="s">
        <v>32</v>
      </c>
    </row>
    <row r="42" spans="1:7" x14ac:dyDescent="0.25">
      <c r="A42" s="7" t="s">
        <v>7</v>
      </c>
      <c r="B42" s="7" t="s">
        <v>15</v>
      </c>
      <c r="C42" s="7" t="s">
        <v>22</v>
      </c>
      <c r="D42" s="7">
        <v>9888</v>
      </c>
      <c r="E42" s="7">
        <v>1961</v>
      </c>
      <c r="F42" s="7" t="str">
        <f t="shared" si="0"/>
        <v>On Budget</v>
      </c>
      <c r="G42" s="7" t="s">
        <v>32</v>
      </c>
    </row>
    <row r="43" spans="1:7" x14ac:dyDescent="0.25">
      <c r="A43" s="7" t="s">
        <v>9</v>
      </c>
      <c r="B43" s="7" t="s">
        <v>13</v>
      </c>
      <c r="C43" s="7" t="s">
        <v>31</v>
      </c>
      <c r="D43" s="7">
        <v>8748</v>
      </c>
      <c r="E43" s="7">
        <v>2688</v>
      </c>
      <c r="F43" s="7" t="str">
        <f t="shared" si="0"/>
        <v>On Budget</v>
      </c>
      <c r="G43" s="7"/>
    </row>
    <row r="44" spans="1:7" x14ac:dyDescent="0.25">
      <c r="A44" s="7" t="s">
        <v>9</v>
      </c>
      <c r="B44" s="7" t="s">
        <v>16</v>
      </c>
      <c r="C44" s="7" t="s">
        <v>25</v>
      </c>
      <c r="D44" s="7">
        <v>1573</v>
      </c>
      <c r="E44" s="7">
        <v>11206</v>
      </c>
      <c r="F44" s="7" t="str">
        <f t="shared" si="0"/>
        <v>Over Budget</v>
      </c>
      <c r="G44" s="7" t="s">
        <v>33</v>
      </c>
    </row>
    <row r="45" spans="1:7" x14ac:dyDescent="0.25">
      <c r="A45" s="7" t="s">
        <v>10</v>
      </c>
      <c r="B45" s="7" t="s">
        <v>18</v>
      </c>
      <c r="C45" s="7" t="s">
        <v>29</v>
      </c>
      <c r="D45" s="7">
        <v>7863</v>
      </c>
      <c r="E45" s="7">
        <v>4970</v>
      </c>
      <c r="F45" s="7" t="str">
        <f t="shared" si="0"/>
        <v>On Budget</v>
      </c>
      <c r="G45" s="7" t="s">
        <v>34</v>
      </c>
    </row>
    <row r="46" spans="1:7" x14ac:dyDescent="0.25">
      <c r="A46" s="7" t="s">
        <v>9</v>
      </c>
      <c r="B46" s="7" t="s">
        <v>16</v>
      </c>
      <c r="C46" s="7" t="s">
        <v>24</v>
      </c>
      <c r="D46" s="7">
        <v>4248</v>
      </c>
      <c r="E46" s="7">
        <v>5503</v>
      </c>
      <c r="F46" s="7" t="str">
        <f t="shared" si="0"/>
        <v>Over Budget</v>
      </c>
      <c r="G46" s="7" t="s">
        <v>34</v>
      </c>
    </row>
    <row r="47" spans="1:7" x14ac:dyDescent="0.25">
      <c r="A47" s="7" t="s">
        <v>10</v>
      </c>
      <c r="B47" s="7" t="s">
        <v>19</v>
      </c>
      <c r="C47" s="7" t="s">
        <v>25</v>
      </c>
      <c r="D47" s="7">
        <v>6213</v>
      </c>
      <c r="E47" s="7">
        <v>10730</v>
      </c>
      <c r="F47" s="7" t="str">
        <f t="shared" si="0"/>
        <v>Over Budget</v>
      </c>
      <c r="G47" s="7"/>
    </row>
    <row r="48" spans="1:7" x14ac:dyDescent="0.25">
      <c r="A48" s="7" t="s">
        <v>7</v>
      </c>
      <c r="B48" s="7" t="s">
        <v>19</v>
      </c>
      <c r="C48" s="7" t="s">
        <v>25</v>
      </c>
      <c r="D48" s="7">
        <v>8844</v>
      </c>
      <c r="E48" s="7">
        <v>5430</v>
      </c>
      <c r="F48" s="7" t="str">
        <f t="shared" si="0"/>
        <v>On Budget</v>
      </c>
      <c r="G48" s="7"/>
    </row>
    <row r="49" spans="1:7" x14ac:dyDescent="0.25">
      <c r="A49" s="7" t="s">
        <v>10</v>
      </c>
      <c r="B49" s="7" t="s">
        <v>13</v>
      </c>
      <c r="C49" s="7" t="s">
        <v>31</v>
      </c>
      <c r="D49" s="7">
        <v>8654</v>
      </c>
      <c r="E49" s="7">
        <v>10484</v>
      </c>
      <c r="F49" s="7" t="str">
        <f t="shared" si="0"/>
        <v>Over Budget</v>
      </c>
      <c r="G49" s="7" t="s">
        <v>32</v>
      </c>
    </row>
    <row r="50" spans="1:7" x14ac:dyDescent="0.25">
      <c r="A50" s="7" t="s">
        <v>10</v>
      </c>
      <c r="B50" s="7" t="s">
        <v>19</v>
      </c>
      <c r="C50" s="7" t="s">
        <v>30</v>
      </c>
      <c r="D50" s="7">
        <v>3669</v>
      </c>
      <c r="E50" s="7">
        <v>5897</v>
      </c>
      <c r="F50" s="7" t="str">
        <f t="shared" si="0"/>
        <v>Over Budget</v>
      </c>
      <c r="G50" s="7" t="s">
        <v>33</v>
      </c>
    </row>
    <row r="51" spans="1:7" x14ac:dyDescent="0.25">
      <c r="A51" s="7" t="s">
        <v>8</v>
      </c>
      <c r="B51" s="7" t="s">
        <v>15</v>
      </c>
      <c r="C51" s="7" t="s">
        <v>29</v>
      </c>
      <c r="D51" s="7">
        <v>3812</v>
      </c>
      <c r="E51" s="7">
        <v>9459</v>
      </c>
      <c r="F51" s="7" t="str">
        <f t="shared" si="0"/>
        <v>Over Budget</v>
      </c>
      <c r="G51" s="7"/>
    </row>
    <row r="52" spans="1:7" x14ac:dyDescent="0.25">
      <c r="A52" s="7" t="s">
        <v>12</v>
      </c>
      <c r="B52" s="7" t="s">
        <v>18</v>
      </c>
      <c r="C52" s="7" t="s">
        <v>29</v>
      </c>
      <c r="D52" s="7">
        <v>3672</v>
      </c>
      <c r="E52" s="7">
        <v>10813</v>
      </c>
      <c r="F52" s="7" t="str">
        <f t="shared" si="0"/>
        <v>Over Budget</v>
      </c>
      <c r="G52" s="7" t="s">
        <v>33</v>
      </c>
    </row>
    <row r="53" spans="1:7" x14ac:dyDescent="0.25">
      <c r="A53" s="7" t="s">
        <v>6</v>
      </c>
      <c r="B53" s="7" t="s">
        <v>16</v>
      </c>
      <c r="C53" s="7" t="s">
        <v>28</v>
      </c>
      <c r="D53" s="7">
        <v>4800</v>
      </c>
      <c r="E53" s="7">
        <v>4433</v>
      </c>
      <c r="F53" s="7" t="str">
        <f t="shared" si="0"/>
        <v>On Budget</v>
      </c>
      <c r="G53" s="7" t="s">
        <v>34</v>
      </c>
    </row>
    <row r="54" spans="1:7" x14ac:dyDescent="0.25">
      <c r="A54" s="7" t="s">
        <v>6</v>
      </c>
      <c r="B54" s="7" t="s">
        <v>16</v>
      </c>
      <c r="C54" s="7" t="s">
        <v>20</v>
      </c>
      <c r="D54" s="7">
        <v>6962</v>
      </c>
      <c r="E54" s="7">
        <v>3401</v>
      </c>
      <c r="F54" s="7" t="str">
        <f t="shared" si="0"/>
        <v>On Budget</v>
      </c>
      <c r="G54" s="7" t="s">
        <v>34</v>
      </c>
    </row>
    <row r="55" spans="1:7" x14ac:dyDescent="0.25">
      <c r="A55" s="7" t="s">
        <v>6</v>
      </c>
      <c r="B55" s="7" t="s">
        <v>14</v>
      </c>
      <c r="C55" s="7" t="s">
        <v>20</v>
      </c>
      <c r="D55" s="7">
        <v>4645</v>
      </c>
      <c r="E55" s="7">
        <v>3612</v>
      </c>
      <c r="F55" s="7" t="str">
        <f t="shared" si="0"/>
        <v>On Budget</v>
      </c>
      <c r="G55" s="7" t="s">
        <v>34</v>
      </c>
    </row>
    <row r="56" spans="1:7" x14ac:dyDescent="0.25">
      <c r="A56" s="7" t="s">
        <v>11</v>
      </c>
      <c r="B56" s="7" t="s">
        <v>15</v>
      </c>
      <c r="C56" s="7" t="s">
        <v>23</v>
      </c>
      <c r="D56" s="7">
        <v>6405</v>
      </c>
      <c r="E56" s="7">
        <v>10615</v>
      </c>
      <c r="F56" s="7" t="str">
        <f t="shared" si="0"/>
        <v>Over Budget</v>
      </c>
      <c r="G56" s="7" t="s">
        <v>35</v>
      </c>
    </row>
    <row r="57" spans="1:7" x14ac:dyDescent="0.25">
      <c r="A57" s="7" t="s">
        <v>7</v>
      </c>
      <c r="B57" s="7" t="s">
        <v>17</v>
      </c>
      <c r="C57" s="7" t="s">
        <v>29</v>
      </c>
      <c r="D57" s="7">
        <v>2393</v>
      </c>
      <c r="E57" s="7">
        <v>11340</v>
      </c>
      <c r="F57" s="7" t="str">
        <f t="shared" si="0"/>
        <v>Over Budget</v>
      </c>
      <c r="G57" s="7" t="s">
        <v>32</v>
      </c>
    </row>
    <row r="58" spans="1:7" x14ac:dyDescent="0.25">
      <c r="A58" s="7" t="s">
        <v>9</v>
      </c>
      <c r="B58" s="7" t="s">
        <v>18</v>
      </c>
      <c r="C58" s="7" t="s">
        <v>20</v>
      </c>
      <c r="D58" s="7">
        <v>9374</v>
      </c>
      <c r="E58" s="7">
        <v>5960</v>
      </c>
      <c r="F58" s="7" t="str">
        <f t="shared" si="0"/>
        <v>On Budget</v>
      </c>
      <c r="G58" s="7"/>
    </row>
    <row r="59" spans="1:7" x14ac:dyDescent="0.25">
      <c r="A59" s="7" t="s">
        <v>10</v>
      </c>
      <c r="B59" s="7" t="s">
        <v>14</v>
      </c>
      <c r="C59" s="7" t="s">
        <v>24</v>
      </c>
      <c r="D59" s="7">
        <v>5880</v>
      </c>
      <c r="E59" s="7">
        <v>1718</v>
      </c>
      <c r="F59" s="7" t="str">
        <f t="shared" si="0"/>
        <v>On Budget</v>
      </c>
      <c r="G59" s="7" t="s">
        <v>32</v>
      </c>
    </row>
    <row r="60" spans="1:7" x14ac:dyDescent="0.25">
      <c r="A60" s="7" t="s">
        <v>12</v>
      </c>
      <c r="B60" s="7" t="s">
        <v>14</v>
      </c>
      <c r="C60" s="7" t="s">
        <v>21</v>
      </c>
      <c r="D60" s="7">
        <v>2744</v>
      </c>
      <c r="E60" s="7">
        <v>8892</v>
      </c>
      <c r="F60" s="7" t="str">
        <f t="shared" si="0"/>
        <v>Over Budget</v>
      </c>
      <c r="G60" s="7"/>
    </row>
    <row r="61" spans="1:7" x14ac:dyDescent="0.25">
      <c r="A61" s="7" t="s">
        <v>6</v>
      </c>
      <c r="B61" s="7" t="s">
        <v>13</v>
      </c>
      <c r="C61" s="7" t="s">
        <v>29</v>
      </c>
      <c r="D61" s="7">
        <v>2488</v>
      </c>
      <c r="E61" s="7">
        <v>6069</v>
      </c>
      <c r="F61" s="7" t="str">
        <f t="shared" si="0"/>
        <v>Over Budget</v>
      </c>
      <c r="G61" s="7" t="s">
        <v>35</v>
      </c>
    </row>
    <row r="62" spans="1:7" x14ac:dyDescent="0.25">
      <c r="A62" s="7" t="s">
        <v>10</v>
      </c>
      <c r="B62" s="7" t="s">
        <v>18</v>
      </c>
      <c r="C62" s="7" t="s">
        <v>26</v>
      </c>
      <c r="D62" s="7">
        <v>2612</v>
      </c>
      <c r="E62" s="7">
        <v>10393</v>
      </c>
      <c r="F62" s="7" t="str">
        <f t="shared" si="0"/>
        <v>Over Budget</v>
      </c>
      <c r="G62" s="7" t="s">
        <v>35</v>
      </c>
    </row>
    <row r="63" spans="1:7" x14ac:dyDescent="0.25">
      <c r="A63" s="7" t="s">
        <v>12</v>
      </c>
      <c r="B63" s="7" t="s">
        <v>14</v>
      </c>
      <c r="C63" s="7" t="s">
        <v>26</v>
      </c>
      <c r="D63" s="7">
        <v>3303</v>
      </c>
      <c r="E63" s="7">
        <v>10146</v>
      </c>
      <c r="F63" s="7" t="str">
        <f t="shared" si="0"/>
        <v>Over Budget</v>
      </c>
      <c r="G63" s="7" t="s">
        <v>35</v>
      </c>
    </row>
    <row r="64" spans="1:7" x14ac:dyDescent="0.25">
      <c r="A64" s="7" t="s">
        <v>6</v>
      </c>
      <c r="B64" s="7" t="s">
        <v>17</v>
      </c>
      <c r="C64" s="7" t="s">
        <v>20</v>
      </c>
      <c r="D64" s="7">
        <v>2330</v>
      </c>
      <c r="E64" s="7">
        <v>10226</v>
      </c>
      <c r="F64" s="7" t="str">
        <f t="shared" si="0"/>
        <v>Over Budget</v>
      </c>
      <c r="G64" s="7" t="s">
        <v>33</v>
      </c>
    </row>
    <row r="65" spans="1:7" x14ac:dyDescent="0.25">
      <c r="A65" s="7" t="s">
        <v>9</v>
      </c>
      <c r="B65" s="7" t="s">
        <v>13</v>
      </c>
      <c r="C65" s="7" t="s">
        <v>30</v>
      </c>
      <c r="D65" s="7">
        <v>1538</v>
      </c>
      <c r="E65" s="7">
        <v>10463</v>
      </c>
      <c r="F65" s="7" t="str">
        <f t="shared" si="0"/>
        <v>Over Budget</v>
      </c>
      <c r="G65" s="7" t="s">
        <v>35</v>
      </c>
    </row>
    <row r="66" spans="1:7" x14ac:dyDescent="0.25">
      <c r="A66" s="7" t="s">
        <v>7</v>
      </c>
      <c r="B66" s="7" t="s">
        <v>18</v>
      </c>
      <c r="C66" s="7" t="s">
        <v>31</v>
      </c>
      <c r="D66" s="7">
        <v>7388</v>
      </c>
      <c r="E66" s="7">
        <v>3895</v>
      </c>
      <c r="F66" s="7" t="str">
        <f t="shared" si="0"/>
        <v>On Budget</v>
      </c>
      <c r="G66" s="7"/>
    </row>
    <row r="67" spans="1:7" x14ac:dyDescent="0.25">
      <c r="A67" s="7" t="s">
        <v>9</v>
      </c>
      <c r="B67" s="7" t="s">
        <v>13</v>
      </c>
      <c r="C67" s="7" t="s">
        <v>30</v>
      </c>
      <c r="D67" s="7">
        <v>4749</v>
      </c>
      <c r="E67" s="7">
        <v>5160</v>
      </c>
      <c r="F67" s="7" t="str">
        <f t="shared" ref="F67:F130" si="1">IF(E67&lt;=D67,"On Budget","Over Budget")</f>
        <v>Over Budget</v>
      </c>
      <c r="G67" s="7" t="s">
        <v>35</v>
      </c>
    </row>
    <row r="68" spans="1:7" x14ac:dyDescent="0.25">
      <c r="A68" s="7" t="s">
        <v>9</v>
      </c>
      <c r="B68" s="7" t="s">
        <v>15</v>
      </c>
      <c r="C68" s="7" t="s">
        <v>28</v>
      </c>
      <c r="D68" s="7">
        <v>6593</v>
      </c>
      <c r="E68" s="7">
        <v>3100</v>
      </c>
      <c r="F68" s="7" t="str">
        <f t="shared" si="1"/>
        <v>On Budget</v>
      </c>
      <c r="G68" s="7" t="s">
        <v>33</v>
      </c>
    </row>
    <row r="69" spans="1:7" x14ac:dyDescent="0.25">
      <c r="A69" s="7" t="s">
        <v>9</v>
      </c>
      <c r="B69" s="7" t="s">
        <v>16</v>
      </c>
      <c r="C69" s="7" t="s">
        <v>31</v>
      </c>
      <c r="D69" s="7">
        <v>7024</v>
      </c>
      <c r="E69" s="7">
        <v>6381</v>
      </c>
      <c r="F69" s="7" t="str">
        <f t="shared" si="1"/>
        <v>On Budget</v>
      </c>
      <c r="G69" s="7" t="s">
        <v>33</v>
      </c>
    </row>
    <row r="70" spans="1:7" x14ac:dyDescent="0.25">
      <c r="A70" s="7" t="s">
        <v>7</v>
      </c>
      <c r="B70" s="7" t="s">
        <v>18</v>
      </c>
      <c r="C70" s="7" t="s">
        <v>29</v>
      </c>
      <c r="D70" s="7">
        <v>3241</v>
      </c>
      <c r="E70" s="7">
        <v>8302</v>
      </c>
      <c r="F70" s="7" t="str">
        <f t="shared" si="1"/>
        <v>Over Budget</v>
      </c>
      <c r="G70" s="7" t="s">
        <v>35</v>
      </c>
    </row>
    <row r="71" spans="1:7" x14ac:dyDescent="0.25">
      <c r="A71" s="7" t="s">
        <v>9</v>
      </c>
      <c r="B71" s="7" t="s">
        <v>18</v>
      </c>
      <c r="C71" s="7" t="s">
        <v>23</v>
      </c>
      <c r="D71" s="7">
        <v>3719</v>
      </c>
      <c r="E71" s="7">
        <v>1349</v>
      </c>
      <c r="F71" s="7" t="str">
        <f t="shared" si="1"/>
        <v>On Budget</v>
      </c>
      <c r="G71" s="7" t="s">
        <v>32</v>
      </c>
    </row>
    <row r="72" spans="1:7" x14ac:dyDescent="0.25">
      <c r="A72" s="7" t="s">
        <v>9</v>
      </c>
      <c r="B72" s="7" t="s">
        <v>19</v>
      </c>
      <c r="C72" s="7" t="s">
        <v>22</v>
      </c>
      <c r="D72" s="7">
        <v>7702</v>
      </c>
      <c r="E72" s="7">
        <v>3259</v>
      </c>
      <c r="F72" s="7" t="str">
        <f t="shared" si="1"/>
        <v>On Budget</v>
      </c>
      <c r="G72" s="7" t="s">
        <v>32</v>
      </c>
    </row>
    <row r="73" spans="1:7" x14ac:dyDescent="0.25">
      <c r="A73" s="7" t="s">
        <v>6</v>
      </c>
      <c r="B73" s="7" t="s">
        <v>13</v>
      </c>
      <c r="C73" s="7" t="s">
        <v>27</v>
      </c>
      <c r="D73" s="7">
        <v>4486</v>
      </c>
      <c r="E73" s="7">
        <v>8723</v>
      </c>
      <c r="F73" s="7" t="str">
        <f t="shared" si="1"/>
        <v>Over Budget</v>
      </c>
      <c r="G73" s="7" t="s">
        <v>35</v>
      </c>
    </row>
    <row r="74" spans="1:7" x14ac:dyDescent="0.25">
      <c r="A74" s="7" t="s">
        <v>9</v>
      </c>
      <c r="B74" s="7" t="s">
        <v>18</v>
      </c>
      <c r="C74" s="7" t="s">
        <v>22</v>
      </c>
      <c r="D74" s="7">
        <v>2756</v>
      </c>
      <c r="E74" s="7">
        <v>4840</v>
      </c>
      <c r="F74" s="7" t="str">
        <f t="shared" si="1"/>
        <v>Over Budget</v>
      </c>
      <c r="G74" s="7"/>
    </row>
    <row r="75" spans="1:7" x14ac:dyDescent="0.25">
      <c r="A75" s="7" t="s">
        <v>7</v>
      </c>
      <c r="B75" s="7" t="s">
        <v>16</v>
      </c>
      <c r="C75" s="7" t="s">
        <v>29</v>
      </c>
      <c r="D75" s="7">
        <v>3915</v>
      </c>
      <c r="E75" s="7">
        <v>11085</v>
      </c>
      <c r="F75" s="7" t="str">
        <f t="shared" si="1"/>
        <v>Over Budget</v>
      </c>
      <c r="G75" s="7" t="s">
        <v>34</v>
      </c>
    </row>
    <row r="76" spans="1:7" x14ac:dyDescent="0.25">
      <c r="A76" s="7" t="s">
        <v>9</v>
      </c>
      <c r="B76" s="7" t="s">
        <v>16</v>
      </c>
      <c r="C76" s="7" t="s">
        <v>28</v>
      </c>
      <c r="D76" s="7">
        <v>7072</v>
      </c>
      <c r="E76" s="7">
        <v>4524</v>
      </c>
      <c r="F76" s="7" t="str">
        <f t="shared" si="1"/>
        <v>On Budget</v>
      </c>
      <c r="G76" s="7" t="s">
        <v>35</v>
      </c>
    </row>
    <row r="77" spans="1:7" x14ac:dyDescent="0.25">
      <c r="A77" s="7" t="s">
        <v>8</v>
      </c>
      <c r="B77" s="7" t="s">
        <v>16</v>
      </c>
      <c r="C77" s="7" t="s">
        <v>27</v>
      </c>
      <c r="D77" s="7">
        <v>2200</v>
      </c>
      <c r="E77" s="7">
        <v>8995</v>
      </c>
      <c r="F77" s="7" t="str">
        <f t="shared" si="1"/>
        <v>Over Budget</v>
      </c>
      <c r="G77" s="7" t="s">
        <v>32</v>
      </c>
    </row>
    <row r="78" spans="1:7" x14ac:dyDescent="0.25">
      <c r="A78" s="7" t="s">
        <v>7</v>
      </c>
      <c r="B78" s="7" t="s">
        <v>13</v>
      </c>
      <c r="C78" s="7" t="s">
        <v>24</v>
      </c>
      <c r="D78" s="7">
        <v>5273</v>
      </c>
      <c r="E78" s="7">
        <v>3315</v>
      </c>
      <c r="F78" s="7" t="str">
        <f t="shared" si="1"/>
        <v>On Budget</v>
      </c>
      <c r="G78" s="7" t="s">
        <v>34</v>
      </c>
    </row>
    <row r="79" spans="1:7" x14ac:dyDescent="0.25">
      <c r="A79" s="7" t="s">
        <v>12</v>
      </c>
      <c r="B79" s="7" t="s">
        <v>13</v>
      </c>
      <c r="C79" s="7" t="s">
        <v>31</v>
      </c>
      <c r="D79" s="7">
        <v>1218</v>
      </c>
      <c r="E79" s="7">
        <v>8660</v>
      </c>
      <c r="F79" s="7" t="str">
        <f t="shared" si="1"/>
        <v>Over Budget</v>
      </c>
      <c r="G79" s="7" t="s">
        <v>32</v>
      </c>
    </row>
    <row r="80" spans="1:7" x14ac:dyDescent="0.25">
      <c r="A80" s="7" t="s">
        <v>7</v>
      </c>
      <c r="B80" s="7" t="s">
        <v>14</v>
      </c>
      <c r="C80" s="7" t="s">
        <v>25</v>
      </c>
      <c r="D80" s="7">
        <v>2161</v>
      </c>
      <c r="E80" s="7">
        <v>1888</v>
      </c>
      <c r="F80" s="7" t="str">
        <f t="shared" si="1"/>
        <v>On Budget</v>
      </c>
      <c r="G80" s="7" t="s">
        <v>32</v>
      </c>
    </row>
    <row r="81" spans="1:7" x14ac:dyDescent="0.25">
      <c r="A81" s="7" t="s">
        <v>12</v>
      </c>
      <c r="B81" s="7" t="s">
        <v>15</v>
      </c>
      <c r="C81" s="7" t="s">
        <v>30</v>
      </c>
      <c r="D81" s="7">
        <v>8194</v>
      </c>
      <c r="E81" s="7">
        <v>4751</v>
      </c>
      <c r="F81" s="7" t="str">
        <f t="shared" si="1"/>
        <v>On Budget</v>
      </c>
      <c r="G81" s="7" t="s">
        <v>35</v>
      </c>
    </row>
    <row r="82" spans="1:7" x14ac:dyDescent="0.25">
      <c r="A82" s="7" t="s">
        <v>7</v>
      </c>
      <c r="B82" s="7" t="s">
        <v>19</v>
      </c>
      <c r="C82" s="7" t="s">
        <v>26</v>
      </c>
      <c r="D82" s="7">
        <v>9116</v>
      </c>
      <c r="E82" s="7">
        <v>5223</v>
      </c>
      <c r="F82" s="7" t="str">
        <f t="shared" si="1"/>
        <v>On Budget</v>
      </c>
      <c r="G82" s="7"/>
    </row>
    <row r="83" spans="1:7" x14ac:dyDescent="0.25">
      <c r="A83" s="7" t="s">
        <v>11</v>
      </c>
      <c r="B83" s="7" t="s">
        <v>13</v>
      </c>
      <c r="C83" s="7" t="s">
        <v>31</v>
      </c>
      <c r="D83" s="7">
        <v>9595</v>
      </c>
      <c r="E83" s="7">
        <v>6007</v>
      </c>
      <c r="F83" s="7" t="str">
        <f t="shared" si="1"/>
        <v>On Budget</v>
      </c>
      <c r="G83" s="7" t="s">
        <v>32</v>
      </c>
    </row>
    <row r="84" spans="1:7" x14ac:dyDescent="0.25">
      <c r="A84" s="7" t="s">
        <v>9</v>
      </c>
      <c r="B84" s="7" t="s">
        <v>16</v>
      </c>
      <c r="C84" s="7" t="s">
        <v>26</v>
      </c>
      <c r="D84" s="7">
        <v>1068</v>
      </c>
      <c r="E84" s="7">
        <v>1998</v>
      </c>
      <c r="F84" s="7" t="str">
        <f t="shared" si="1"/>
        <v>Over Budget</v>
      </c>
      <c r="G84" s="7"/>
    </row>
    <row r="85" spans="1:7" x14ac:dyDescent="0.25">
      <c r="A85" s="7" t="s">
        <v>11</v>
      </c>
      <c r="B85" s="7" t="s">
        <v>19</v>
      </c>
      <c r="C85" s="7" t="s">
        <v>24</v>
      </c>
      <c r="D85" s="7">
        <v>5069</v>
      </c>
      <c r="E85" s="7">
        <v>7674</v>
      </c>
      <c r="F85" s="7" t="str">
        <f t="shared" si="1"/>
        <v>Over Budget</v>
      </c>
      <c r="G85" s="7" t="s">
        <v>34</v>
      </c>
    </row>
    <row r="86" spans="1:7" x14ac:dyDescent="0.25">
      <c r="A86" s="7" t="s">
        <v>11</v>
      </c>
      <c r="B86" s="7" t="s">
        <v>14</v>
      </c>
      <c r="C86" s="7" t="s">
        <v>22</v>
      </c>
      <c r="D86" s="7">
        <v>9975</v>
      </c>
      <c r="E86" s="7">
        <v>9853</v>
      </c>
      <c r="F86" s="7" t="str">
        <f t="shared" si="1"/>
        <v>On Budget</v>
      </c>
      <c r="G86" s="7" t="s">
        <v>33</v>
      </c>
    </row>
    <row r="87" spans="1:7" x14ac:dyDescent="0.25">
      <c r="A87" s="7" t="s">
        <v>12</v>
      </c>
      <c r="B87" s="7" t="s">
        <v>15</v>
      </c>
      <c r="C87" s="7" t="s">
        <v>26</v>
      </c>
      <c r="D87" s="7">
        <v>9193</v>
      </c>
      <c r="E87" s="7">
        <v>6411</v>
      </c>
      <c r="F87" s="7" t="str">
        <f t="shared" si="1"/>
        <v>On Budget</v>
      </c>
      <c r="G87" s="7" t="s">
        <v>34</v>
      </c>
    </row>
    <row r="88" spans="1:7" x14ac:dyDescent="0.25">
      <c r="A88" s="7" t="s">
        <v>9</v>
      </c>
      <c r="B88" s="7" t="s">
        <v>16</v>
      </c>
      <c r="C88" s="7" t="s">
        <v>20</v>
      </c>
      <c r="D88" s="7">
        <v>7586</v>
      </c>
      <c r="E88" s="7">
        <v>6534</v>
      </c>
      <c r="F88" s="7" t="str">
        <f t="shared" si="1"/>
        <v>On Budget</v>
      </c>
      <c r="G88" s="7" t="s">
        <v>32</v>
      </c>
    </row>
    <row r="89" spans="1:7" x14ac:dyDescent="0.25">
      <c r="A89" s="7" t="s">
        <v>9</v>
      </c>
      <c r="B89" s="7" t="s">
        <v>17</v>
      </c>
      <c r="C89" s="7" t="s">
        <v>26</v>
      </c>
      <c r="D89" s="7">
        <v>3579</v>
      </c>
      <c r="E89" s="7">
        <v>4310</v>
      </c>
      <c r="F89" s="7" t="str">
        <f t="shared" si="1"/>
        <v>Over Budget</v>
      </c>
      <c r="G89" s="7" t="s">
        <v>32</v>
      </c>
    </row>
    <row r="90" spans="1:7" x14ac:dyDescent="0.25">
      <c r="A90" s="7" t="s">
        <v>11</v>
      </c>
      <c r="B90" s="7" t="s">
        <v>15</v>
      </c>
      <c r="C90" s="7" t="s">
        <v>28</v>
      </c>
      <c r="D90" s="7">
        <v>1352</v>
      </c>
      <c r="E90" s="7">
        <v>10883</v>
      </c>
      <c r="F90" s="7" t="str">
        <f t="shared" si="1"/>
        <v>Over Budget</v>
      </c>
      <c r="G90" s="7"/>
    </row>
    <row r="91" spans="1:7" x14ac:dyDescent="0.25">
      <c r="A91" s="7" t="s">
        <v>10</v>
      </c>
      <c r="B91" s="7" t="s">
        <v>17</v>
      </c>
      <c r="C91" s="7" t="s">
        <v>25</v>
      </c>
      <c r="D91" s="7">
        <v>1963</v>
      </c>
      <c r="E91" s="7">
        <v>1130</v>
      </c>
      <c r="F91" s="7" t="str">
        <f t="shared" si="1"/>
        <v>On Budget</v>
      </c>
      <c r="G91" s="7" t="s">
        <v>35</v>
      </c>
    </row>
    <row r="92" spans="1:7" x14ac:dyDescent="0.25">
      <c r="A92" s="7" t="s">
        <v>6</v>
      </c>
      <c r="B92" s="7" t="s">
        <v>16</v>
      </c>
      <c r="C92" s="7" t="s">
        <v>26</v>
      </c>
      <c r="D92" s="7">
        <v>4160</v>
      </c>
      <c r="E92" s="7">
        <v>8610</v>
      </c>
      <c r="F92" s="7" t="str">
        <f t="shared" si="1"/>
        <v>Over Budget</v>
      </c>
      <c r="G92" s="7" t="s">
        <v>34</v>
      </c>
    </row>
    <row r="93" spans="1:7" x14ac:dyDescent="0.25">
      <c r="A93" s="7" t="s">
        <v>12</v>
      </c>
      <c r="B93" s="7" t="s">
        <v>17</v>
      </c>
      <c r="C93" s="7" t="s">
        <v>23</v>
      </c>
      <c r="D93" s="7">
        <v>8651</v>
      </c>
      <c r="E93" s="7">
        <v>9566</v>
      </c>
      <c r="F93" s="7" t="str">
        <f t="shared" si="1"/>
        <v>Over Budget</v>
      </c>
      <c r="G93" s="7"/>
    </row>
    <row r="94" spans="1:7" x14ac:dyDescent="0.25">
      <c r="A94" s="7" t="s">
        <v>9</v>
      </c>
      <c r="B94" s="7" t="s">
        <v>17</v>
      </c>
      <c r="C94" s="7" t="s">
        <v>23</v>
      </c>
      <c r="D94" s="7">
        <v>8153</v>
      </c>
      <c r="E94" s="7">
        <v>4754</v>
      </c>
      <c r="F94" s="7" t="str">
        <f t="shared" si="1"/>
        <v>On Budget</v>
      </c>
      <c r="G94" s="7" t="s">
        <v>34</v>
      </c>
    </row>
    <row r="95" spans="1:7" x14ac:dyDescent="0.25">
      <c r="A95" s="7" t="s">
        <v>7</v>
      </c>
      <c r="B95" s="7" t="s">
        <v>18</v>
      </c>
      <c r="C95" s="7" t="s">
        <v>23</v>
      </c>
      <c r="D95" s="7">
        <v>6888</v>
      </c>
      <c r="E95" s="7">
        <v>3991</v>
      </c>
      <c r="F95" s="7" t="str">
        <f t="shared" si="1"/>
        <v>On Budget</v>
      </c>
      <c r="G95" s="7" t="s">
        <v>32</v>
      </c>
    </row>
    <row r="96" spans="1:7" x14ac:dyDescent="0.25">
      <c r="A96" s="7" t="s">
        <v>7</v>
      </c>
      <c r="B96" s="7" t="s">
        <v>14</v>
      </c>
      <c r="C96" s="7" t="s">
        <v>23</v>
      </c>
      <c r="D96" s="7">
        <v>5089</v>
      </c>
      <c r="E96" s="7">
        <v>7252</v>
      </c>
      <c r="F96" s="7" t="str">
        <f t="shared" si="1"/>
        <v>Over Budget</v>
      </c>
      <c r="G96" s="7" t="s">
        <v>32</v>
      </c>
    </row>
    <row r="97" spans="1:7" x14ac:dyDescent="0.25">
      <c r="A97" s="7" t="s">
        <v>6</v>
      </c>
      <c r="B97" s="7" t="s">
        <v>15</v>
      </c>
      <c r="C97" s="7" t="s">
        <v>20</v>
      </c>
      <c r="D97" s="7">
        <v>6400</v>
      </c>
      <c r="E97" s="7">
        <v>11481</v>
      </c>
      <c r="F97" s="7" t="str">
        <f t="shared" si="1"/>
        <v>Over Budget</v>
      </c>
      <c r="G97" s="7" t="s">
        <v>33</v>
      </c>
    </row>
    <row r="98" spans="1:7" x14ac:dyDescent="0.25">
      <c r="A98" s="7" t="s">
        <v>9</v>
      </c>
      <c r="B98" s="7" t="s">
        <v>18</v>
      </c>
      <c r="C98" s="7" t="s">
        <v>20</v>
      </c>
      <c r="D98" s="7">
        <v>4348</v>
      </c>
      <c r="E98" s="7">
        <v>8465</v>
      </c>
      <c r="F98" s="7" t="str">
        <f t="shared" si="1"/>
        <v>Over Budget</v>
      </c>
      <c r="G98" s="7"/>
    </row>
    <row r="99" spans="1:7" x14ac:dyDescent="0.25">
      <c r="A99" s="7" t="s">
        <v>8</v>
      </c>
      <c r="B99" s="7" t="s">
        <v>19</v>
      </c>
      <c r="C99" s="7" t="s">
        <v>26</v>
      </c>
      <c r="D99" s="7">
        <v>3871</v>
      </c>
      <c r="E99" s="7">
        <v>2944</v>
      </c>
      <c r="F99" s="7" t="str">
        <f t="shared" si="1"/>
        <v>On Budget</v>
      </c>
      <c r="G99" s="7" t="s">
        <v>35</v>
      </c>
    </row>
    <row r="100" spans="1:7" x14ac:dyDescent="0.25">
      <c r="A100" s="7" t="s">
        <v>8</v>
      </c>
      <c r="B100" s="7" t="s">
        <v>13</v>
      </c>
      <c r="C100" s="7" t="s">
        <v>23</v>
      </c>
      <c r="D100" s="7">
        <v>2588</v>
      </c>
      <c r="E100" s="7">
        <v>6655</v>
      </c>
      <c r="F100" s="7" t="str">
        <f t="shared" si="1"/>
        <v>Over Budget</v>
      </c>
      <c r="G100" s="7" t="s">
        <v>33</v>
      </c>
    </row>
    <row r="101" spans="1:7" x14ac:dyDescent="0.25">
      <c r="A101" s="7" t="s">
        <v>6</v>
      </c>
      <c r="B101" s="7" t="s">
        <v>15</v>
      </c>
      <c r="C101" s="7" t="s">
        <v>20</v>
      </c>
      <c r="D101" s="7">
        <v>5419</v>
      </c>
      <c r="E101" s="7">
        <v>10036</v>
      </c>
      <c r="F101" s="7" t="str">
        <f t="shared" si="1"/>
        <v>Over Budget</v>
      </c>
      <c r="G101" s="7" t="s">
        <v>33</v>
      </c>
    </row>
    <row r="102" spans="1:7" x14ac:dyDescent="0.25">
      <c r="A102" s="7" t="s">
        <v>6</v>
      </c>
      <c r="B102" s="7" t="s">
        <v>17</v>
      </c>
      <c r="C102" s="7" t="s">
        <v>30</v>
      </c>
      <c r="D102" s="7">
        <v>6484</v>
      </c>
      <c r="E102" s="7">
        <v>11321</v>
      </c>
      <c r="F102" s="7" t="str">
        <f t="shared" si="1"/>
        <v>Over Budget</v>
      </c>
      <c r="G102" s="7" t="s">
        <v>33</v>
      </c>
    </row>
    <row r="103" spans="1:7" x14ac:dyDescent="0.25">
      <c r="A103" s="7" t="s">
        <v>12</v>
      </c>
      <c r="B103" s="7" t="s">
        <v>18</v>
      </c>
      <c r="C103" s="7" t="s">
        <v>26</v>
      </c>
      <c r="D103" s="7">
        <v>2824</v>
      </c>
      <c r="E103" s="7">
        <v>4259</v>
      </c>
      <c r="F103" s="7" t="str">
        <f t="shared" si="1"/>
        <v>Over Budget</v>
      </c>
      <c r="G103" s="7" t="s">
        <v>35</v>
      </c>
    </row>
    <row r="104" spans="1:7" x14ac:dyDescent="0.25">
      <c r="A104" s="7" t="s">
        <v>6</v>
      </c>
      <c r="B104" s="7" t="s">
        <v>16</v>
      </c>
      <c r="C104" s="7" t="s">
        <v>24</v>
      </c>
      <c r="D104" s="7">
        <v>3283</v>
      </c>
      <c r="E104" s="7">
        <v>2284</v>
      </c>
      <c r="F104" s="7" t="str">
        <f t="shared" si="1"/>
        <v>On Budget</v>
      </c>
      <c r="G104" s="7" t="s">
        <v>35</v>
      </c>
    </row>
    <row r="105" spans="1:7" x14ac:dyDescent="0.25">
      <c r="A105" s="7" t="s">
        <v>9</v>
      </c>
      <c r="B105" s="7" t="s">
        <v>15</v>
      </c>
      <c r="C105" s="7" t="s">
        <v>26</v>
      </c>
      <c r="D105" s="7">
        <v>1385</v>
      </c>
      <c r="E105" s="7">
        <v>3043</v>
      </c>
      <c r="F105" s="7" t="str">
        <f t="shared" si="1"/>
        <v>Over Budget</v>
      </c>
      <c r="G105" s="7" t="s">
        <v>35</v>
      </c>
    </row>
    <row r="106" spans="1:7" x14ac:dyDescent="0.25">
      <c r="A106" s="7" t="s">
        <v>9</v>
      </c>
      <c r="B106" s="7" t="s">
        <v>18</v>
      </c>
      <c r="C106" s="7" t="s">
        <v>26</v>
      </c>
      <c r="D106" s="7">
        <v>5925</v>
      </c>
      <c r="E106" s="7">
        <v>1611</v>
      </c>
      <c r="F106" s="7" t="str">
        <f t="shared" si="1"/>
        <v>On Budget</v>
      </c>
      <c r="G106" s="7" t="s">
        <v>33</v>
      </c>
    </row>
    <row r="107" spans="1:7" x14ac:dyDescent="0.25">
      <c r="A107" s="7" t="s">
        <v>10</v>
      </c>
      <c r="B107" s="7" t="s">
        <v>13</v>
      </c>
      <c r="C107" s="7" t="s">
        <v>29</v>
      </c>
      <c r="D107" s="7">
        <v>4713</v>
      </c>
      <c r="E107" s="7">
        <v>1374</v>
      </c>
      <c r="F107" s="7" t="str">
        <f t="shared" si="1"/>
        <v>On Budget</v>
      </c>
      <c r="G107" s="7"/>
    </row>
    <row r="108" spans="1:7" x14ac:dyDescent="0.25">
      <c r="A108" s="7" t="s">
        <v>6</v>
      </c>
      <c r="B108" s="7" t="s">
        <v>18</v>
      </c>
      <c r="C108" s="7" t="s">
        <v>27</v>
      </c>
      <c r="D108" s="7">
        <v>9681</v>
      </c>
      <c r="E108" s="7">
        <v>11376</v>
      </c>
      <c r="F108" s="7" t="str">
        <f t="shared" si="1"/>
        <v>Over Budget</v>
      </c>
      <c r="G108" s="7" t="s">
        <v>33</v>
      </c>
    </row>
    <row r="109" spans="1:7" x14ac:dyDescent="0.25">
      <c r="A109" s="7" t="s">
        <v>9</v>
      </c>
      <c r="B109" s="7" t="s">
        <v>14</v>
      </c>
      <c r="C109" s="7" t="s">
        <v>24</v>
      </c>
      <c r="D109" s="7">
        <v>3056</v>
      </c>
      <c r="E109" s="7">
        <v>9707</v>
      </c>
      <c r="F109" s="7" t="str">
        <f t="shared" si="1"/>
        <v>Over Budget</v>
      </c>
      <c r="G109" s="7" t="s">
        <v>35</v>
      </c>
    </row>
    <row r="110" spans="1:7" x14ac:dyDescent="0.25">
      <c r="A110" s="7" t="s">
        <v>10</v>
      </c>
      <c r="B110" s="7" t="s">
        <v>14</v>
      </c>
      <c r="C110" s="7" t="s">
        <v>23</v>
      </c>
      <c r="D110" s="7">
        <v>2839</v>
      </c>
      <c r="E110" s="7">
        <v>831</v>
      </c>
      <c r="F110" s="7" t="str">
        <f t="shared" si="1"/>
        <v>On Budget</v>
      </c>
      <c r="G110" s="7" t="s">
        <v>32</v>
      </c>
    </row>
    <row r="111" spans="1:7" x14ac:dyDescent="0.25">
      <c r="A111" s="7" t="s">
        <v>11</v>
      </c>
      <c r="B111" s="7" t="s">
        <v>15</v>
      </c>
      <c r="C111" s="7" t="s">
        <v>27</v>
      </c>
      <c r="D111" s="7">
        <v>8899</v>
      </c>
      <c r="E111" s="7">
        <v>10544</v>
      </c>
      <c r="F111" s="7" t="str">
        <f t="shared" si="1"/>
        <v>Over Budget</v>
      </c>
      <c r="G111" s="7" t="s">
        <v>34</v>
      </c>
    </row>
    <row r="112" spans="1:7" x14ac:dyDescent="0.25">
      <c r="A112" s="7" t="s">
        <v>11</v>
      </c>
      <c r="B112" s="7" t="s">
        <v>19</v>
      </c>
      <c r="C112" s="7" t="s">
        <v>29</v>
      </c>
      <c r="D112" s="7">
        <v>4949</v>
      </c>
      <c r="E112" s="7">
        <v>9798</v>
      </c>
      <c r="F112" s="7" t="str">
        <f t="shared" si="1"/>
        <v>Over Budget</v>
      </c>
      <c r="G112" s="7" t="s">
        <v>32</v>
      </c>
    </row>
    <row r="113" spans="1:7" x14ac:dyDescent="0.25">
      <c r="A113" s="7" t="s">
        <v>8</v>
      </c>
      <c r="B113" s="7" t="s">
        <v>17</v>
      </c>
      <c r="C113" s="7" t="s">
        <v>20</v>
      </c>
      <c r="D113" s="7">
        <v>6496</v>
      </c>
      <c r="E113" s="7">
        <v>6564</v>
      </c>
      <c r="F113" s="7" t="str">
        <f t="shared" si="1"/>
        <v>Over Budget</v>
      </c>
      <c r="G113" s="7" t="s">
        <v>32</v>
      </c>
    </row>
    <row r="114" spans="1:7" x14ac:dyDescent="0.25">
      <c r="A114" s="7" t="s">
        <v>9</v>
      </c>
      <c r="B114" s="7" t="s">
        <v>18</v>
      </c>
      <c r="C114" s="7" t="s">
        <v>23</v>
      </c>
      <c r="D114" s="7">
        <v>8018</v>
      </c>
      <c r="E114" s="7">
        <v>10019</v>
      </c>
      <c r="F114" s="7" t="str">
        <f t="shared" si="1"/>
        <v>Over Budget</v>
      </c>
      <c r="G114" s="7" t="s">
        <v>33</v>
      </c>
    </row>
    <row r="115" spans="1:7" x14ac:dyDescent="0.25">
      <c r="A115" s="7" t="s">
        <v>12</v>
      </c>
      <c r="B115" s="7" t="s">
        <v>13</v>
      </c>
      <c r="C115" s="7" t="s">
        <v>25</v>
      </c>
      <c r="D115" s="7">
        <v>1923</v>
      </c>
      <c r="E115" s="7">
        <v>3834</v>
      </c>
      <c r="F115" s="7" t="str">
        <f t="shared" si="1"/>
        <v>Over Budget</v>
      </c>
      <c r="G115" s="7"/>
    </row>
    <row r="116" spans="1:7" x14ac:dyDescent="0.25">
      <c r="A116" s="7" t="s">
        <v>11</v>
      </c>
      <c r="B116" s="7" t="s">
        <v>13</v>
      </c>
      <c r="C116" s="7" t="s">
        <v>21</v>
      </c>
      <c r="D116" s="7">
        <v>1159</v>
      </c>
      <c r="E116" s="7">
        <v>9243</v>
      </c>
      <c r="F116" s="7" t="str">
        <f t="shared" si="1"/>
        <v>Over Budget</v>
      </c>
      <c r="G116" s="7" t="s">
        <v>32</v>
      </c>
    </row>
    <row r="117" spans="1:7" x14ac:dyDescent="0.25">
      <c r="A117" s="7" t="s">
        <v>9</v>
      </c>
      <c r="B117" s="7" t="s">
        <v>16</v>
      </c>
      <c r="C117" s="7" t="s">
        <v>21</v>
      </c>
      <c r="D117" s="7">
        <v>1952</v>
      </c>
      <c r="E117" s="7">
        <v>1646</v>
      </c>
      <c r="F117" s="7" t="str">
        <f t="shared" si="1"/>
        <v>On Budget</v>
      </c>
      <c r="G117" s="7" t="s">
        <v>34</v>
      </c>
    </row>
    <row r="118" spans="1:7" x14ac:dyDescent="0.25">
      <c r="A118" s="7" t="s">
        <v>12</v>
      </c>
      <c r="B118" s="7" t="s">
        <v>13</v>
      </c>
      <c r="C118" s="7" t="s">
        <v>29</v>
      </c>
      <c r="D118" s="7">
        <v>3819</v>
      </c>
      <c r="E118" s="7">
        <v>4948</v>
      </c>
      <c r="F118" s="7" t="str">
        <f t="shared" si="1"/>
        <v>Over Budget</v>
      </c>
      <c r="G118" s="7" t="s">
        <v>32</v>
      </c>
    </row>
    <row r="119" spans="1:7" x14ac:dyDescent="0.25">
      <c r="A119" s="7" t="s">
        <v>6</v>
      </c>
      <c r="B119" s="7" t="s">
        <v>14</v>
      </c>
      <c r="C119" s="7" t="s">
        <v>28</v>
      </c>
      <c r="D119" s="7">
        <v>2063</v>
      </c>
      <c r="E119" s="7">
        <v>6424</v>
      </c>
      <c r="F119" s="7" t="str">
        <f t="shared" si="1"/>
        <v>Over Budget</v>
      </c>
      <c r="G119" s="7" t="s">
        <v>34</v>
      </c>
    </row>
    <row r="120" spans="1:7" x14ac:dyDescent="0.25">
      <c r="A120" s="7" t="s">
        <v>6</v>
      </c>
      <c r="B120" s="7" t="s">
        <v>17</v>
      </c>
      <c r="C120" s="7" t="s">
        <v>26</v>
      </c>
      <c r="D120" s="7">
        <v>1566</v>
      </c>
      <c r="E120" s="7">
        <v>6043</v>
      </c>
      <c r="F120" s="7" t="str">
        <f t="shared" si="1"/>
        <v>Over Budget</v>
      </c>
      <c r="G120" s="7" t="s">
        <v>34</v>
      </c>
    </row>
    <row r="121" spans="1:7" x14ac:dyDescent="0.25">
      <c r="A121" s="7" t="s">
        <v>12</v>
      </c>
      <c r="B121" s="7" t="s">
        <v>18</v>
      </c>
      <c r="C121" s="7" t="s">
        <v>30</v>
      </c>
      <c r="D121" s="7">
        <v>3485</v>
      </c>
      <c r="E121" s="7">
        <v>2227</v>
      </c>
      <c r="F121" s="7" t="str">
        <f t="shared" si="1"/>
        <v>On Budget</v>
      </c>
      <c r="G121" s="7" t="s">
        <v>34</v>
      </c>
    </row>
    <row r="122" spans="1:7" x14ac:dyDescent="0.25">
      <c r="A122" s="7" t="s">
        <v>10</v>
      </c>
      <c r="B122" s="7" t="s">
        <v>17</v>
      </c>
      <c r="C122" s="7" t="s">
        <v>30</v>
      </c>
      <c r="D122" s="7">
        <v>9141</v>
      </c>
      <c r="E122" s="7">
        <v>10040</v>
      </c>
      <c r="F122" s="7" t="str">
        <f t="shared" si="1"/>
        <v>Over Budget</v>
      </c>
      <c r="G122" s="7" t="s">
        <v>35</v>
      </c>
    </row>
    <row r="123" spans="1:7" x14ac:dyDescent="0.25">
      <c r="A123" s="7" t="s">
        <v>8</v>
      </c>
      <c r="B123" s="7" t="s">
        <v>14</v>
      </c>
      <c r="C123" s="7" t="s">
        <v>22</v>
      </c>
      <c r="D123" s="7">
        <v>3619</v>
      </c>
      <c r="E123" s="7">
        <v>6866</v>
      </c>
      <c r="F123" s="7" t="str">
        <f t="shared" si="1"/>
        <v>Over Budget</v>
      </c>
      <c r="G123" s="7" t="s">
        <v>33</v>
      </c>
    </row>
    <row r="124" spans="1:7" x14ac:dyDescent="0.25">
      <c r="A124" s="7" t="s">
        <v>8</v>
      </c>
      <c r="B124" s="7" t="s">
        <v>18</v>
      </c>
      <c r="C124" s="7" t="s">
        <v>24</v>
      </c>
      <c r="D124" s="7">
        <v>1302</v>
      </c>
      <c r="E124" s="7">
        <v>10929</v>
      </c>
      <c r="F124" s="7" t="str">
        <f t="shared" si="1"/>
        <v>Over Budget</v>
      </c>
      <c r="G124" s="7" t="s">
        <v>35</v>
      </c>
    </row>
    <row r="125" spans="1:7" x14ac:dyDescent="0.25">
      <c r="A125" s="7" t="s">
        <v>12</v>
      </c>
      <c r="B125" s="7" t="s">
        <v>18</v>
      </c>
      <c r="C125" s="7" t="s">
        <v>24</v>
      </c>
      <c r="D125" s="7">
        <v>1816</v>
      </c>
      <c r="E125" s="7">
        <v>3942</v>
      </c>
      <c r="F125" s="7" t="str">
        <f t="shared" si="1"/>
        <v>Over Budget</v>
      </c>
      <c r="G125" s="7" t="s">
        <v>32</v>
      </c>
    </row>
    <row r="126" spans="1:7" x14ac:dyDescent="0.25">
      <c r="A126" s="7" t="s">
        <v>8</v>
      </c>
      <c r="B126" s="7" t="s">
        <v>14</v>
      </c>
      <c r="C126" s="7" t="s">
        <v>28</v>
      </c>
      <c r="D126" s="7">
        <v>2553</v>
      </c>
      <c r="E126" s="7">
        <v>3881</v>
      </c>
      <c r="F126" s="7" t="str">
        <f t="shared" si="1"/>
        <v>Over Budget</v>
      </c>
      <c r="G126" s="7" t="s">
        <v>32</v>
      </c>
    </row>
    <row r="127" spans="1:7" x14ac:dyDescent="0.25">
      <c r="A127" s="7" t="s">
        <v>12</v>
      </c>
      <c r="B127" s="7" t="s">
        <v>13</v>
      </c>
      <c r="C127" s="7" t="s">
        <v>31</v>
      </c>
      <c r="D127" s="7">
        <v>8243</v>
      </c>
      <c r="E127" s="7">
        <v>10125</v>
      </c>
      <c r="F127" s="7" t="str">
        <f t="shared" si="1"/>
        <v>Over Budget</v>
      </c>
      <c r="G127" s="7" t="s">
        <v>32</v>
      </c>
    </row>
    <row r="128" spans="1:7" x14ac:dyDescent="0.25">
      <c r="A128" s="7" t="s">
        <v>6</v>
      </c>
      <c r="B128" s="7" t="s">
        <v>15</v>
      </c>
      <c r="C128" s="7" t="s">
        <v>29</v>
      </c>
      <c r="D128" s="7">
        <v>6346</v>
      </c>
      <c r="E128" s="7">
        <v>6459</v>
      </c>
      <c r="F128" s="7" t="str">
        <f t="shared" si="1"/>
        <v>Over Budget</v>
      </c>
      <c r="G128" s="7" t="s">
        <v>34</v>
      </c>
    </row>
    <row r="129" spans="1:7" x14ac:dyDescent="0.25">
      <c r="A129" s="7" t="s">
        <v>9</v>
      </c>
      <c r="B129" s="7" t="s">
        <v>16</v>
      </c>
      <c r="C129" s="7" t="s">
        <v>28</v>
      </c>
      <c r="D129" s="7">
        <v>3615</v>
      </c>
      <c r="E129" s="7">
        <v>3735</v>
      </c>
      <c r="F129" s="7" t="str">
        <f t="shared" si="1"/>
        <v>Over Budget</v>
      </c>
      <c r="G129" s="7" t="s">
        <v>34</v>
      </c>
    </row>
    <row r="130" spans="1:7" x14ac:dyDescent="0.25">
      <c r="A130" s="7" t="s">
        <v>7</v>
      </c>
      <c r="B130" s="7" t="s">
        <v>17</v>
      </c>
      <c r="C130" s="7" t="s">
        <v>29</v>
      </c>
      <c r="D130" s="7">
        <v>5399</v>
      </c>
      <c r="E130" s="7">
        <v>6127</v>
      </c>
      <c r="F130" s="7" t="str">
        <f t="shared" si="1"/>
        <v>Over Budget</v>
      </c>
      <c r="G130" s="7"/>
    </row>
    <row r="131" spans="1:7" x14ac:dyDescent="0.25">
      <c r="A131" s="7" t="s">
        <v>11</v>
      </c>
      <c r="B131" s="7" t="s">
        <v>14</v>
      </c>
      <c r="C131" s="7" t="s">
        <v>30</v>
      </c>
      <c r="D131" s="7">
        <v>5806</v>
      </c>
      <c r="E131" s="7">
        <v>2415</v>
      </c>
      <c r="F131" s="7" t="str">
        <f t="shared" ref="F131:F194" si="2">IF(E131&lt;=D131,"On Budget","Over Budget")</f>
        <v>On Budget</v>
      </c>
      <c r="G131" s="7" t="s">
        <v>33</v>
      </c>
    </row>
    <row r="132" spans="1:7" x14ac:dyDescent="0.25">
      <c r="A132" s="7" t="s">
        <v>12</v>
      </c>
      <c r="B132" s="7" t="s">
        <v>14</v>
      </c>
      <c r="C132" s="7" t="s">
        <v>21</v>
      </c>
      <c r="D132" s="7">
        <v>1837</v>
      </c>
      <c r="E132" s="7">
        <v>7341</v>
      </c>
      <c r="F132" s="7" t="str">
        <f t="shared" si="2"/>
        <v>Over Budget</v>
      </c>
      <c r="G132" s="7" t="s">
        <v>34</v>
      </c>
    </row>
    <row r="133" spans="1:7" x14ac:dyDescent="0.25">
      <c r="A133" s="7" t="s">
        <v>6</v>
      </c>
      <c r="B133" s="7" t="s">
        <v>16</v>
      </c>
      <c r="C133" s="7" t="s">
        <v>26</v>
      </c>
      <c r="D133" s="7">
        <v>1585</v>
      </c>
      <c r="E133" s="7">
        <v>8036</v>
      </c>
      <c r="F133" s="7" t="str">
        <f t="shared" si="2"/>
        <v>Over Budget</v>
      </c>
      <c r="G133" s="7" t="s">
        <v>34</v>
      </c>
    </row>
    <row r="134" spans="1:7" x14ac:dyDescent="0.25">
      <c r="A134" s="7" t="s">
        <v>6</v>
      </c>
      <c r="B134" s="7" t="s">
        <v>16</v>
      </c>
      <c r="C134" s="7" t="s">
        <v>24</v>
      </c>
      <c r="D134" s="7">
        <v>4704</v>
      </c>
      <c r="E134" s="7">
        <v>1099</v>
      </c>
      <c r="F134" s="7" t="str">
        <f t="shared" si="2"/>
        <v>On Budget</v>
      </c>
      <c r="G134" s="7" t="s">
        <v>32</v>
      </c>
    </row>
    <row r="135" spans="1:7" x14ac:dyDescent="0.25">
      <c r="A135" s="7" t="s">
        <v>7</v>
      </c>
      <c r="B135" s="7" t="s">
        <v>16</v>
      </c>
      <c r="C135" s="7" t="s">
        <v>30</v>
      </c>
      <c r="D135" s="7">
        <v>6386</v>
      </c>
      <c r="E135" s="7">
        <v>6028</v>
      </c>
      <c r="F135" s="7" t="str">
        <f t="shared" si="2"/>
        <v>On Budget</v>
      </c>
      <c r="G135" s="7" t="s">
        <v>34</v>
      </c>
    </row>
    <row r="136" spans="1:7" x14ac:dyDescent="0.25">
      <c r="A136" s="7" t="s">
        <v>7</v>
      </c>
      <c r="B136" s="7" t="s">
        <v>19</v>
      </c>
      <c r="C136" s="7" t="s">
        <v>23</v>
      </c>
      <c r="D136" s="7">
        <v>7733</v>
      </c>
      <c r="E136" s="7">
        <v>4773</v>
      </c>
      <c r="F136" s="7" t="str">
        <f t="shared" si="2"/>
        <v>On Budget</v>
      </c>
      <c r="G136" s="7" t="s">
        <v>34</v>
      </c>
    </row>
    <row r="137" spans="1:7" x14ac:dyDescent="0.25">
      <c r="A137" s="7" t="s">
        <v>12</v>
      </c>
      <c r="B137" s="7" t="s">
        <v>17</v>
      </c>
      <c r="C137" s="7" t="s">
        <v>28</v>
      </c>
      <c r="D137" s="7">
        <v>4382</v>
      </c>
      <c r="E137" s="7">
        <v>2988</v>
      </c>
      <c r="F137" s="7" t="str">
        <f t="shared" si="2"/>
        <v>On Budget</v>
      </c>
      <c r="G137" s="7"/>
    </row>
    <row r="138" spans="1:7" x14ac:dyDescent="0.25">
      <c r="A138" s="7" t="s">
        <v>11</v>
      </c>
      <c r="B138" s="7" t="s">
        <v>15</v>
      </c>
      <c r="C138" s="7" t="s">
        <v>21</v>
      </c>
      <c r="D138" s="7">
        <v>7398</v>
      </c>
      <c r="E138" s="7">
        <v>11208</v>
      </c>
      <c r="F138" s="7" t="str">
        <f t="shared" si="2"/>
        <v>Over Budget</v>
      </c>
      <c r="G138" s="7"/>
    </row>
    <row r="139" spans="1:7" x14ac:dyDescent="0.25">
      <c r="A139" s="7" t="s">
        <v>10</v>
      </c>
      <c r="B139" s="7" t="s">
        <v>17</v>
      </c>
      <c r="C139" s="7" t="s">
        <v>31</v>
      </c>
      <c r="D139" s="7">
        <v>9867</v>
      </c>
      <c r="E139" s="7">
        <v>8693</v>
      </c>
      <c r="F139" s="7" t="str">
        <f t="shared" si="2"/>
        <v>On Budget</v>
      </c>
      <c r="G139" s="7"/>
    </row>
    <row r="140" spans="1:7" x14ac:dyDescent="0.25">
      <c r="A140" s="7" t="s">
        <v>6</v>
      </c>
      <c r="B140" s="7" t="s">
        <v>13</v>
      </c>
      <c r="C140" s="7" t="s">
        <v>24</v>
      </c>
      <c r="D140" s="7">
        <v>8813</v>
      </c>
      <c r="E140" s="7">
        <v>8553</v>
      </c>
      <c r="F140" s="7" t="str">
        <f t="shared" si="2"/>
        <v>On Budget</v>
      </c>
      <c r="G140" s="7" t="s">
        <v>32</v>
      </c>
    </row>
    <row r="141" spans="1:7" x14ac:dyDescent="0.25">
      <c r="A141" s="7" t="s">
        <v>8</v>
      </c>
      <c r="B141" s="7" t="s">
        <v>17</v>
      </c>
      <c r="C141" s="7" t="s">
        <v>30</v>
      </c>
      <c r="D141" s="7">
        <v>7276</v>
      </c>
      <c r="E141" s="7">
        <v>7102</v>
      </c>
      <c r="F141" s="7" t="str">
        <f t="shared" si="2"/>
        <v>On Budget</v>
      </c>
      <c r="G141" s="7" t="s">
        <v>34</v>
      </c>
    </row>
    <row r="142" spans="1:7" x14ac:dyDescent="0.25">
      <c r="A142" s="7" t="s">
        <v>8</v>
      </c>
      <c r="B142" s="7" t="s">
        <v>13</v>
      </c>
      <c r="C142" s="7" t="s">
        <v>30</v>
      </c>
      <c r="D142" s="7">
        <v>8998</v>
      </c>
      <c r="E142" s="7">
        <v>11610</v>
      </c>
      <c r="F142" s="7" t="str">
        <f t="shared" si="2"/>
        <v>Over Budget</v>
      </c>
      <c r="G142" s="7" t="s">
        <v>33</v>
      </c>
    </row>
    <row r="143" spans="1:7" x14ac:dyDescent="0.25">
      <c r="A143" s="7" t="s">
        <v>11</v>
      </c>
      <c r="B143" s="7" t="s">
        <v>14</v>
      </c>
      <c r="C143" s="7" t="s">
        <v>24</v>
      </c>
      <c r="D143" s="7">
        <v>1274</v>
      </c>
      <c r="E143" s="7">
        <v>1938</v>
      </c>
      <c r="F143" s="7" t="str">
        <f t="shared" si="2"/>
        <v>Over Budget</v>
      </c>
      <c r="G143" s="7" t="s">
        <v>33</v>
      </c>
    </row>
    <row r="144" spans="1:7" x14ac:dyDescent="0.25">
      <c r="A144" s="7" t="s">
        <v>6</v>
      </c>
      <c r="B144" s="7" t="s">
        <v>16</v>
      </c>
      <c r="C144" s="7" t="s">
        <v>22</v>
      </c>
      <c r="D144" s="7">
        <v>5123</v>
      </c>
      <c r="E144" s="7">
        <v>7843</v>
      </c>
      <c r="F144" s="7" t="str">
        <f t="shared" si="2"/>
        <v>Over Budget</v>
      </c>
      <c r="G144" s="7" t="s">
        <v>32</v>
      </c>
    </row>
    <row r="145" spans="1:7" x14ac:dyDescent="0.25">
      <c r="A145" s="7" t="s">
        <v>8</v>
      </c>
      <c r="B145" s="7" t="s">
        <v>14</v>
      </c>
      <c r="C145" s="7" t="s">
        <v>22</v>
      </c>
      <c r="D145" s="7">
        <v>7064</v>
      </c>
      <c r="E145" s="7">
        <v>2139</v>
      </c>
      <c r="F145" s="7" t="str">
        <f t="shared" si="2"/>
        <v>On Budget</v>
      </c>
      <c r="G145" s="7"/>
    </row>
    <row r="146" spans="1:7" x14ac:dyDescent="0.25">
      <c r="A146" s="7" t="s">
        <v>10</v>
      </c>
      <c r="B146" s="7" t="s">
        <v>18</v>
      </c>
      <c r="C146" s="7" t="s">
        <v>25</v>
      </c>
      <c r="D146" s="7">
        <v>8321</v>
      </c>
      <c r="E146" s="7">
        <v>7191</v>
      </c>
      <c r="F146" s="7" t="str">
        <f t="shared" si="2"/>
        <v>On Budget</v>
      </c>
      <c r="G146" s="7" t="s">
        <v>34</v>
      </c>
    </row>
    <row r="147" spans="1:7" x14ac:dyDescent="0.25">
      <c r="A147" s="7" t="s">
        <v>11</v>
      </c>
      <c r="B147" s="7" t="s">
        <v>19</v>
      </c>
      <c r="C147" s="7" t="s">
        <v>22</v>
      </c>
      <c r="D147" s="7">
        <v>5624</v>
      </c>
      <c r="E147" s="7">
        <v>9652</v>
      </c>
      <c r="F147" s="7" t="str">
        <f t="shared" si="2"/>
        <v>Over Budget</v>
      </c>
      <c r="G147" s="7" t="s">
        <v>35</v>
      </c>
    </row>
    <row r="148" spans="1:7" x14ac:dyDescent="0.25">
      <c r="A148" s="7" t="s">
        <v>9</v>
      </c>
      <c r="B148" s="7" t="s">
        <v>17</v>
      </c>
      <c r="C148" s="7" t="s">
        <v>25</v>
      </c>
      <c r="D148" s="7">
        <v>3363</v>
      </c>
      <c r="E148" s="7">
        <v>7558</v>
      </c>
      <c r="F148" s="7" t="str">
        <f t="shared" si="2"/>
        <v>Over Budget</v>
      </c>
      <c r="G148" s="7"/>
    </row>
    <row r="149" spans="1:7" x14ac:dyDescent="0.25">
      <c r="A149" s="7" t="s">
        <v>11</v>
      </c>
      <c r="B149" s="7" t="s">
        <v>16</v>
      </c>
      <c r="C149" s="7" t="s">
        <v>24</v>
      </c>
      <c r="D149" s="7">
        <v>3860</v>
      </c>
      <c r="E149" s="7">
        <v>965</v>
      </c>
      <c r="F149" s="7" t="str">
        <f t="shared" si="2"/>
        <v>On Budget</v>
      </c>
      <c r="G149" s="7" t="s">
        <v>34</v>
      </c>
    </row>
    <row r="150" spans="1:7" x14ac:dyDescent="0.25">
      <c r="A150" s="7" t="s">
        <v>8</v>
      </c>
      <c r="B150" s="7" t="s">
        <v>13</v>
      </c>
      <c r="C150" s="7" t="s">
        <v>28</v>
      </c>
      <c r="D150" s="7">
        <v>6061</v>
      </c>
      <c r="E150" s="7">
        <v>3903</v>
      </c>
      <c r="F150" s="7" t="str">
        <f t="shared" si="2"/>
        <v>On Budget</v>
      </c>
      <c r="G150" s="7"/>
    </row>
    <row r="151" spans="1:7" x14ac:dyDescent="0.25">
      <c r="A151" s="7" t="s">
        <v>6</v>
      </c>
      <c r="B151" s="7" t="s">
        <v>18</v>
      </c>
      <c r="C151" s="7" t="s">
        <v>30</v>
      </c>
      <c r="D151" s="7">
        <v>8470</v>
      </c>
      <c r="E151" s="7">
        <v>5246</v>
      </c>
      <c r="F151" s="7" t="str">
        <f t="shared" si="2"/>
        <v>On Budget</v>
      </c>
      <c r="G151" s="7"/>
    </row>
    <row r="152" spans="1:7" x14ac:dyDescent="0.25">
      <c r="A152" s="7" t="s">
        <v>7</v>
      </c>
      <c r="B152" s="7" t="s">
        <v>19</v>
      </c>
      <c r="C152" s="7" t="s">
        <v>22</v>
      </c>
      <c r="D152" s="7">
        <v>6850</v>
      </c>
      <c r="E152" s="7">
        <v>5804</v>
      </c>
      <c r="F152" s="7" t="str">
        <f t="shared" si="2"/>
        <v>On Budget</v>
      </c>
      <c r="G152" s="7" t="s">
        <v>35</v>
      </c>
    </row>
    <row r="153" spans="1:7" x14ac:dyDescent="0.25">
      <c r="A153" s="7" t="s">
        <v>12</v>
      </c>
      <c r="B153" s="7" t="s">
        <v>15</v>
      </c>
      <c r="C153" s="7" t="s">
        <v>21</v>
      </c>
      <c r="D153" s="7">
        <v>6963</v>
      </c>
      <c r="E153" s="7">
        <v>7460</v>
      </c>
      <c r="F153" s="7" t="str">
        <f t="shared" si="2"/>
        <v>Over Budget</v>
      </c>
      <c r="G153" s="7" t="s">
        <v>34</v>
      </c>
    </row>
    <row r="154" spans="1:7" x14ac:dyDescent="0.25">
      <c r="A154" s="7" t="s">
        <v>8</v>
      </c>
      <c r="B154" s="7" t="s">
        <v>19</v>
      </c>
      <c r="C154" s="7" t="s">
        <v>20</v>
      </c>
      <c r="D154" s="7">
        <v>8235</v>
      </c>
      <c r="E154" s="7">
        <v>11316</v>
      </c>
      <c r="F154" s="7" t="str">
        <f t="shared" si="2"/>
        <v>Over Budget</v>
      </c>
      <c r="G154" s="7" t="s">
        <v>35</v>
      </c>
    </row>
    <row r="155" spans="1:7" x14ac:dyDescent="0.25">
      <c r="A155" s="7" t="s">
        <v>11</v>
      </c>
      <c r="B155" s="7" t="s">
        <v>19</v>
      </c>
      <c r="C155" s="7" t="s">
        <v>29</v>
      </c>
      <c r="D155" s="7">
        <v>4770</v>
      </c>
      <c r="E155" s="7">
        <v>5145</v>
      </c>
      <c r="F155" s="7" t="str">
        <f t="shared" si="2"/>
        <v>Over Budget</v>
      </c>
      <c r="G155" s="7" t="s">
        <v>33</v>
      </c>
    </row>
    <row r="156" spans="1:7" x14ac:dyDescent="0.25">
      <c r="A156" s="7" t="s">
        <v>7</v>
      </c>
      <c r="B156" s="7" t="s">
        <v>18</v>
      </c>
      <c r="C156" s="7" t="s">
        <v>21</v>
      </c>
      <c r="D156" s="7">
        <v>6281</v>
      </c>
      <c r="E156" s="7">
        <v>2852</v>
      </c>
      <c r="F156" s="7" t="str">
        <f t="shared" si="2"/>
        <v>On Budget</v>
      </c>
      <c r="G156" s="7" t="s">
        <v>34</v>
      </c>
    </row>
    <row r="157" spans="1:7" x14ac:dyDescent="0.25">
      <c r="A157" s="7" t="s">
        <v>12</v>
      </c>
      <c r="B157" s="7" t="s">
        <v>18</v>
      </c>
      <c r="C157" s="7" t="s">
        <v>27</v>
      </c>
      <c r="D157" s="7">
        <v>6818</v>
      </c>
      <c r="E157" s="7">
        <v>4819</v>
      </c>
      <c r="F157" s="7" t="str">
        <f t="shared" si="2"/>
        <v>On Budget</v>
      </c>
      <c r="G157" s="7"/>
    </row>
    <row r="158" spans="1:7" x14ac:dyDescent="0.25">
      <c r="A158" s="7" t="s">
        <v>7</v>
      </c>
      <c r="B158" s="7" t="s">
        <v>16</v>
      </c>
      <c r="C158" s="7" t="s">
        <v>30</v>
      </c>
      <c r="D158" s="7">
        <v>7068</v>
      </c>
      <c r="E158" s="7">
        <v>10517</v>
      </c>
      <c r="F158" s="7" t="str">
        <f t="shared" si="2"/>
        <v>Over Budget</v>
      </c>
      <c r="G158" s="7" t="s">
        <v>35</v>
      </c>
    </row>
    <row r="159" spans="1:7" x14ac:dyDescent="0.25">
      <c r="A159" s="7" t="s">
        <v>8</v>
      </c>
      <c r="B159" s="7" t="s">
        <v>17</v>
      </c>
      <c r="C159" s="7" t="s">
        <v>23</v>
      </c>
      <c r="D159" s="7">
        <v>8822</v>
      </c>
      <c r="E159" s="7">
        <v>8070</v>
      </c>
      <c r="F159" s="7" t="str">
        <f t="shared" si="2"/>
        <v>On Budget</v>
      </c>
      <c r="G159" s="7" t="s">
        <v>33</v>
      </c>
    </row>
    <row r="160" spans="1:7" x14ac:dyDescent="0.25">
      <c r="A160" s="7" t="s">
        <v>6</v>
      </c>
      <c r="B160" s="7" t="s">
        <v>15</v>
      </c>
      <c r="C160" s="7" t="s">
        <v>31</v>
      </c>
      <c r="D160" s="7">
        <v>3336</v>
      </c>
      <c r="E160" s="7">
        <v>6550</v>
      </c>
      <c r="F160" s="7" t="str">
        <f t="shared" si="2"/>
        <v>Over Budget</v>
      </c>
      <c r="G160" s="7"/>
    </row>
    <row r="161" spans="1:7" x14ac:dyDescent="0.25">
      <c r="A161" s="7" t="s">
        <v>7</v>
      </c>
      <c r="B161" s="7" t="s">
        <v>15</v>
      </c>
      <c r="C161" s="7" t="s">
        <v>23</v>
      </c>
      <c r="D161" s="7">
        <v>3291</v>
      </c>
      <c r="E161" s="7">
        <v>9771</v>
      </c>
      <c r="F161" s="7" t="str">
        <f t="shared" si="2"/>
        <v>Over Budget</v>
      </c>
      <c r="G161" s="7" t="s">
        <v>32</v>
      </c>
    </row>
    <row r="162" spans="1:7" x14ac:dyDescent="0.25">
      <c r="A162" s="7" t="s">
        <v>10</v>
      </c>
      <c r="B162" s="7" t="s">
        <v>17</v>
      </c>
      <c r="C162" s="7" t="s">
        <v>26</v>
      </c>
      <c r="D162" s="7">
        <v>9356</v>
      </c>
      <c r="E162" s="7">
        <v>11851</v>
      </c>
      <c r="F162" s="7" t="str">
        <f t="shared" si="2"/>
        <v>Over Budget</v>
      </c>
      <c r="G162" s="7" t="s">
        <v>34</v>
      </c>
    </row>
    <row r="163" spans="1:7" x14ac:dyDescent="0.25">
      <c r="A163" s="7" t="s">
        <v>6</v>
      </c>
      <c r="B163" s="7" t="s">
        <v>18</v>
      </c>
      <c r="C163" s="7" t="s">
        <v>30</v>
      </c>
      <c r="D163" s="7">
        <v>4391</v>
      </c>
      <c r="E163" s="7">
        <v>3112</v>
      </c>
      <c r="F163" s="7" t="str">
        <f t="shared" si="2"/>
        <v>On Budget</v>
      </c>
      <c r="G163" s="7" t="s">
        <v>32</v>
      </c>
    </row>
    <row r="164" spans="1:7" x14ac:dyDescent="0.25">
      <c r="A164" s="7" t="s">
        <v>8</v>
      </c>
      <c r="B164" s="7" t="s">
        <v>18</v>
      </c>
      <c r="C164" s="7" t="s">
        <v>20</v>
      </c>
      <c r="D164" s="7">
        <v>1408</v>
      </c>
      <c r="E164" s="7">
        <v>5018</v>
      </c>
      <c r="F164" s="7" t="str">
        <f t="shared" si="2"/>
        <v>Over Budget</v>
      </c>
      <c r="G164" s="7" t="s">
        <v>33</v>
      </c>
    </row>
    <row r="165" spans="1:7" x14ac:dyDescent="0.25">
      <c r="A165" s="7" t="s">
        <v>12</v>
      </c>
      <c r="B165" s="7" t="s">
        <v>14</v>
      </c>
      <c r="C165" s="7" t="s">
        <v>31</v>
      </c>
      <c r="D165" s="7">
        <v>7553</v>
      </c>
      <c r="E165" s="7">
        <v>4643</v>
      </c>
      <c r="F165" s="7" t="str">
        <f t="shared" si="2"/>
        <v>On Budget</v>
      </c>
      <c r="G165" s="7" t="s">
        <v>33</v>
      </c>
    </row>
    <row r="166" spans="1:7" x14ac:dyDescent="0.25">
      <c r="A166" s="7" t="s">
        <v>7</v>
      </c>
      <c r="B166" s="7" t="s">
        <v>16</v>
      </c>
      <c r="C166" s="7" t="s">
        <v>24</v>
      </c>
      <c r="D166" s="7">
        <v>4348</v>
      </c>
      <c r="E166" s="7">
        <v>1086</v>
      </c>
      <c r="F166" s="7" t="str">
        <f t="shared" si="2"/>
        <v>On Budget</v>
      </c>
      <c r="G166" s="7"/>
    </row>
    <row r="167" spans="1:7" x14ac:dyDescent="0.25">
      <c r="A167" s="7" t="s">
        <v>12</v>
      </c>
      <c r="B167" s="7" t="s">
        <v>17</v>
      </c>
      <c r="C167" s="7" t="s">
        <v>20</v>
      </c>
      <c r="D167" s="7">
        <v>3548</v>
      </c>
      <c r="E167" s="7">
        <v>3142</v>
      </c>
      <c r="F167" s="7" t="str">
        <f t="shared" si="2"/>
        <v>On Budget</v>
      </c>
      <c r="G167" s="7" t="s">
        <v>33</v>
      </c>
    </row>
    <row r="168" spans="1:7" x14ac:dyDescent="0.25">
      <c r="A168" s="7" t="s">
        <v>6</v>
      </c>
      <c r="B168" s="7" t="s">
        <v>18</v>
      </c>
      <c r="C168" s="7" t="s">
        <v>27</v>
      </c>
      <c r="D168" s="7">
        <v>8189</v>
      </c>
      <c r="E168" s="7">
        <v>8919</v>
      </c>
      <c r="F168" s="7" t="str">
        <f t="shared" si="2"/>
        <v>Over Budget</v>
      </c>
      <c r="G168" s="7" t="s">
        <v>32</v>
      </c>
    </row>
    <row r="169" spans="1:7" x14ac:dyDescent="0.25">
      <c r="A169" s="7" t="s">
        <v>9</v>
      </c>
      <c r="B169" s="7" t="s">
        <v>15</v>
      </c>
      <c r="C169" s="7" t="s">
        <v>22</v>
      </c>
      <c r="D169" s="7">
        <v>3517</v>
      </c>
      <c r="E169" s="7">
        <v>8970</v>
      </c>
      <c r="F169" s="7" t="str">
        <f t="shared" si="2"/>
        <v>Over Budget</v>
      </c>
      <c r="G169" s="7"/>
    </row>
    <row r="170" spans="1:7" x14ac:dyDescent="0.25">
      <c r="A170" s="7" t="s">
        <v>6</v>
      </c>
      <c r="B170" s="7" t="s">
        <v>18</v>
      </c>
      <c r="C170" s="7" t="s">
        <v>20</v>
      </c>
      <c r="D170" s="7">
        <v>9821</v>
      </c>
      <c r="E170" s="7">
        <v>7026</v>
      </c>
      <c r="F170" s="7" t="str">
        <f t="shared" si="2"/>
        <v>On Budget</v>
      </c>
      <c r="G170" s="7"/>
    </row>
    <row r="171" spans="1:7" x14ac:dyDescent="0.25">
      <c r="A171" s="7" t="s">
        <v>7</v>
      </c>
      <c r="B171" s="7" t="s">
        <v>17</v>
      </c>
      <c r="C171" s="7" t="s">
        <v>21</v>
      </c>
      <c r="D171" s="7">
        <v>5878</v>
      </c>
      <c r="E171" s="7">
        <v>4594</v>
      </c>
      <c r="F171" s="7" t="str">
        <f t="shared" si="2"/>
        <v>On Budget</v>
      </c>
      <c r="G171" s="7" t="s">
        <v>35</v>
      </c>
    </row>
    <row r="172" spans="1:7" x14ac:dyDescent="0.25">
      <c r="A172" s="7" t="s">
        <v>9</v>
      </c>
      <c r="B172" s="7" t="s">
        <v>13</v>
      </c>
      <c r="C172" s="7" t="s">
        <v>20</v>
      </c>
      <c r="D172" s="7">
        <v>9986</v>
      </c>
      <c r="E172" s="7">
        <v>6304</v>
      </c>
      <c r="F172" s="7" t="str">
        <f t="shared" si="2"/>
        <v>On Budget</v>
      </c>
      <c r="G172" s="7"/>
    </row>
    <row r="173" spans="1:7" x14ac:dyDescent="0.25">
      <c r="A173" s="7" t="s">
        <v>8</v>
      </c>
      <c r="B173" s="7" t="s">
        <v>19</v>
      </c>
      <c r="C173" s="7" t="s">
        <v>22</v>
      </c>
      <c r="D173" s="7">
        <v>1973</v>
      </c>
      <c r="E173" s="7">
        <v>6463</v>
      </c>
      <c r="F173" s="7" t="str">
        <f t="shared" si="2"/>
        <v>Over Budget</v>
      </c>
      <c r="G173" s="7" t="s">
        <v>35</v>
      </c>
    </row>
    <row r="174" spans="1:7" x14ac:dyDescent="0.25">
      <c r="A174" s="7" t="s">
        <v>10</v>
      </c>
      <c r="B174" s="7" t="s">
        <v>13</v>
      </c>
      <c r="C174" s="7" t="s">
        <v>27</v>
      </c>
      <c r="D174" s="7">
        <v>5981</v>
      </c>
      <c r="E174" s="7">
        <v>10207</v>
      </c>
      <c r="F174" s="7" t="str">
        <f t="shared" si="2"/>
        <v>Over Budget</v>
      </c>
      <c r="G174" s="7" t="s">
        <v>35</v>
      </c>
    </row>
    <row r="175" spans="1:7" x14ac:dyDescent="0.25">
      <c r="A175" s="7" t="s">
        <v>7</v>
      </c>
      <c r="B175" s="7" t="s">
        <v>18</v>
      </c>
      <c r="C175" s="7" t="s">
        <v>25</v>
      </c>
      <c r="D175" s="7">
        <v>9540</v>
      </c>
      <c r="E175" s="7">
        <v>1153</v>
      </c>
      <c r="F175" s="7" t="str">
        <f t="shared" si="2"/>
        <v>On Budget</v>
      </c>
      <c r="G175" s="7"/>
    </row>
    <row r="176" spans="1:7" x14ac:dyDescent="0.25">
      <c r="A176" s="7" t="s">
        <v>12</v>
      </c>
      <c r="B176" s="7" t="s">
        <v>19</v>
      </c>
      <c r="C176" s="7" t="s">
        <v>23</v>
      </c>
      <c r="D176" s="7">
        <v>6631</v>
      </c>
      <c r="E176" s="7">
        <v>5193</v>
      </c>
      <c r="F176" s="7" t="str">
        <f t="shared" si="2"/>
        <v>On Budget</v>
      </c>
      <c r="G176" s="7" t="s">
        <v>32</v>
      </c>
    </row>
    <row r="177" spans="1:7" x14ac:dyDescent="0.25">
      <c r="A177" s="7" t="s">
        <v>12</v>
      </c>
      <c r="B177" s="7" t="s">
        <v>14</v>
      </c>
      <c r="C177" s="7" t="s">
        <v>26</v>
      </c>
      <c r="D177" s="7">
        <v>3737</v>
      </c>
      <c r="E177" s="7">
        <v>814</v>
      </c>
      <c r="F177" s="7" t="str">
        <f t="shared" si="2"/>
        <v>On Budget</v>
      </c>
      <c r="G177" s="7" t="s">
        <v>34</v>
      </c>
    </row>
    <row r="178" spans="1:7" x14ac:dyDescent="0.25">
      <c r="A178" s="7" t="s">
        <v>8</v>
      </c>
      <c r="B178" s="7" t="s">
        <v>14</v>
      </c>
      <c r="C178" s="7" t="s">
        <v>26</v>
      </c>
      <c r="D178" s="7">
        <v>4941</v>
      </c>
      <c r="E178" s="7">
        <v>7764</v>
      </c>
      <c r="F178" s="7" t="str">
        <f t="shared" si="2"/>
        <v>Over Budget</v>
      </c>
      <c r="G178" s="7" t="s">
        <v>34</v>
      </c>
    </row>
    <row r="179" spans="1:7" x14ac:dyDescent="0.25">
      <c r="A179" s="7" t="s">
        <v>9</v>
      </c>
      <c r="B179" s="7" t="s">
        <v>14</v>
      </c>
      <c r="C179" s="7" t="s">
        <v>20</v>
      </c>
      <c r="D179" s="7">
        <v>7569</v>
      </c>
      <c r="E179" s="7">
        <v>6793</v>
      </c>
      <c r="F179" s="7" t="str">
        <f t="shared" si="2"/>
        <v>On Budget</v>
      </c>
      <c r="G179" s="7" t="s">
        <v>32</v>
      </c>
    </row>
    <row r="180" spans="1:7" x14ac:dyDescent="0.25">
      <c r="A180" s="7" t="s">
        <v>6</v>
      </c>
      <c r="B180" s="7" t="s">
        <v>19</v>
      </c>
      <c r="C180" s="7" t="s">
        <v>22</v>
      </c>
      <c r="D180" s="7">
        <v>8282</v>
      </c>
      <c r="E180" s="7">
        <v>6572</v>
      </c>
      <c r="F180" s="7" t="str">
        <f t="shared" si="2"/>
        <v>On Budget</v>
      </c>
      <c r="G180" s="7" t="s">
        <v>34</v>
      </c>
    </row>
    <row r="181" spans="1:7" x14ac:dyDescent="0.25">
      <c r="A181" s="7" t="s">
        <v>10</v>
      </c>
      <c r="B181" s="7" t="s">
        <v>15</v>
      </c>
      <c r="C181" s="7" t="s">
        <v>21</v>
      </c>
      <c r="D181" s="7">
        <v>5707</v>
      </c>
      <c r="E181" s="7">
        <v>1247</v>
      </c>
      <c r="F181" s="7" t="str">
        <f t="shared" si="2"/>
        <v>On Budget</v>
      </c>
      <c r="G181" s="7" t="s">
        <v>33</v>
      </c>
    </row>
    <row r="182" spans="1:7" x14ac:dyDescent="0.25">
      <c r="A182" s="7" t="s">
        <v>9</v>
      </c>
      <c r="B182" s="7" t="s">
        <v>17</v>
      </c>
      <c r="C182" s="7" t="s">
        <v>22</v>
      </c>
      <c r="D182" s="7">
        <v>9793</v>
      </c>
      <c r="E182" s="7">
        <v>11068</v>
      </c>
      <c r="F182" s="7" t="str">
        <f t="shared" si="2"/>
        <v>Over Budget</v>
      </c>
      <c r="G182" s="7" t="s">
        <v>34</v>
      </c>
    </row>
    <row r="183" spans="1:7" x14ac:dyDescent="0.25">
      <c r="A183" s="7" t="s">
        <v>7</v>
      </c>
      <c r="B183" s="7" t="s">
        <v>16</v>
      </c>
      <c r="C183" s="7" t="s">
        <v>21</v>
      </c>
      <c r="D183" s="7">
        <v>5682</v>
      </c>
      <c r="E183" s="7">
        <v>5406</v>
      </c>
      <c r="F183" s="7" t="str">
        <f t="shared" si="2"/>
        <v>On Budget</v>
      </c>
      <c r="G183" s="7" t="s">
        <v>33</v>
      </c>
    </row>
    <row r="184" spans="1:7" x14ac:dyDescent="0.25">
      <c r="A184" s="7" t="s">
        <v>6</v>
      </c>
      <c r="B184" s="7" t="s">
        <v>17</v>
      </c>
      <c r="C184" s="7" t="s">
        <v>28</v>
      </c>
      <c r="D184" s="7">
        <v>6208</v>
      </c>
      <c r="E184" s="7">
        <v>8384</v>
      </c>
      <c r="F184" s="7" t="str">
        <f t="shared" si="2"/>
        <v>Over Budget</v>
      </c>
      <c r="G184" s="7" t="s">
        <v>33</v>
      </c>
    </row>
    <row r="185" spans="1:7" x14ac:dyDescent="0.25">
      <c r="A185" s="7" t="s">
        <v>6</v>
      </c>
      <c r="B185" s="7" t="s">
        <v>16</v>
      </c>
      <c r="C185" s="7" t="s">
        <v>25</v>
      </c>
      <c r="D185" s="7">
        <v>2120</v>
      </c>
      <c r="E185" s="7">
        <v>3045</v>
      </c>
      <c r="F185" s="7" t="str">
        <f t="shared" si="2"/>
        <v>Over Budget</v>
      </c>
      <c r="G185" s="7" t="s">
        <v>33</v>
      </c>
    </row>
    <row r="186" spans="1:7" x14ac:dyDescent="0.25">
      <c r="A186" s="7" t="s">
        <v>12</v>
      </c>
      <c r="B186" s="7" t="s">
        <v>17</v>
      </c>
      <c r="C186" s="7" t="s">
        <v>21</v>
      </c>
      <c r="D186" s="7">
        <v>6061</v>
      </c>
      <c r="E186" s="7">
        <v>11421</v>
      </c>
      <c r="F186" s="7" t="str">
        <f t="shared" si="2"/>
        <v>Over Budget</v>
      </c>
      <c r="G186" s="7"/>
    </row>
    <row r="187" spans="1:7" x14ac:dyDescent="0.25">
      <c r="A187" s="7" t="s">
        <v>6</v>
      </c>
      <c r="B187" s="7" t="s">
        <v>15</v>
      </c>
      <c r="C187" s="7" t="s">
        <v>29</v>
      </c>
      <c r="D187" s="7">
        <v>7404</v>
      </c>
      <c r="E187" s="7">
        <v>7108</v>
      </c>
      <c r="F187" s="7" t="str">
        <f t="shared" si="2"/>
        <v>On Budget</v>
      </c>
      <c r="G187" s="7" t="s">
        <v>34</v>
      </c>
    </row>
    <row r="188" spans="1:7" x14ac:dyDescent="0.25">
      <c r="A188" s="7" t="s">
        <v>12</v>
      </c>
      <c r="B188" s="7" t="s">
        <v>19</v>
      </c>
      <c r="C188" s="7" t="s">
        <v>28</v>
      </c>
      <c r="D188" s="7">
        <v>8616</v>
      </c>
      <c r="E188" s="7">
        <v>3212</v>
      </c>
      <c r="F188" s="7" t="str">
        <f t="shared" si="2"/>
        <v>On Budget</v>
      </c>
      <c r="G188" s="7" t="s">
        <v>33</v>
      </c>
    </row>
    <row r="189" spans="1:7" x14ac:dyDescent="0.25">
      <c r="A189" s="7" t="s">
        <v>11</v>
      </c>
      <c r="B189" s="7" t="s">
        <v>15</v>
      </c>
      <c r="C189" s="7" t="s">
        <v>31</v>
      </c>
      <c r="D189" s="7">
        <v>7610</v>
      </c>
      <c r="E189" s="7">
        <v>7804</v>
      </c>
      <c r="F189" s="7" t="str">
        <f t="shared" si="2"/>
        <v>Over Budget</v>
      </c>
      <c r="G189" s="7" t="s">
        <v>35</v>
      </c>
    </row>
    <row r="190" spans="1:7" x14ac:dyDescent="0.25">
      <c r="A190" s="7" t="s">
        <v>7</v>
      </c>
      <c r="B190" s="7" t="s">
        <v>18</v>
      </c>
      <c r="C190" s="7" t="s">
        <v>28</v>
      </c>
      <c r="D190" s="7">
        <v>8538</v>
      </c>
      <c r="E190" s="7">
        <v>9089</v>
      </c>
      <c r="F190" s="7" t="str">
        <f t="shared" si="2"/>
        <v>Over Budget</v>
      </c>
      <c r="G190" s="7" t="s">
        <v>34</v>
      </c>
    </row>
    <row r="191" spans="1:7" x14ac:dyDescent="0.25">
      <c r="A191" s="7" t="s">
        <v>8</v>
      </c>
      <c r="B191" s="7" t="s">
        <v>14</v>
      </c>
      <c r="C191" s="7" t="s">
        <v>21</v>
      </c>
      <c r="D191" s="7">
        <v>2560</v>
      </c>
      <c r="E191" s="7">
        <v>3967</v>
      </c>
      <c r="F191" s="7" t="str">
        <f t="shared" si="2"/>
        <v>Over Budget</v>
      </c>
      <c r="G191" s="7" t="s">
        <v>33</v>
      </c>
    </row>
    <row r="192" spans="1:7" x14ac:dyDescent="0.25">
      <c r="A192" s="7" t="s">
        <v>9</v>
      </c>
      <c r="B192" s="7" t="s">
        <v>19</v>
      </c>
      <c r="C192" s="7" t="s">
        <v>28</v>
      </c>
      <c r="D192" s="7">
        <v>1505</v>
      </c>
      <c r="E192" s="7">
        <v>3747</v>
      </c>
      <c r="F192" s="7" t="str">
        <f t="shared" si="2"/>
        <v>Over Budget</v>
      </c>
      <c r="G192" s="7" t="s">
        <v>32</v>
      </c>
    </row>
    <row r="193" spans="1:7" x14ac:dyDescent="0.25">
      <c r="A193" s="7" t="s">
        <v>9</v>
      </c>
      <c r="B193" s="7" t="s">
        <v>18</v>
      </c>
      <c r="C193" s="7" t="s">
        <v>24</v>
      </c>
      <c r="D193" s="7">
        <v>8673</v>
      </c>
      <c r="E193" s="7">
        <v>7189</v>
      </c>
      <c r="F193" s="7" t="str">
        <f t="shared" si="2"/>
        <v>On Budget</v>
      </c>
      <c r="G193" s="7" t="s">
        <v>33</v>
      </c>
    </row>
    <row r="194" spans="1:7" x14ac:dyDescent="0.25">
      <c r="A194" s="7" t="s">
        <v>11</v>
      </c>
      <c r="B194" s="7" t="s">
        <v>15</v>
      </c>
      <c r="C194" s="7" t="s">
        <v>25</v>
      </c>
      <c r="D194" s="7">
        <v>6222</v>
      </c>
      <c r="E194" s="7">
        <v>4080</v>
      </c>
      <c r="F194" s="7" t="str">
        <f t="shared" si="2"/>
        <v>On Budget</v>
      </c>
      <c r="G194" s="7" t="s">
        <v>32</v>
      </c>
    </row>
    <row r="195" spans="1:7" x14ac:dyDescent="0.25">
      <c r="A195" s="7" t="s">
        <v>6</v>
      </c>
      <c r="B195" s="7" t="s">
        <v>15</v>
      </c>
      <c r="C195" s="7" t="s">
        <v>21</v>
      </c>
      <c r="D195" s="7">
        <v>4392</v>
      </c>
      <c r="E195" s="7">
        <v>7311</v>
      </c>
      <c r="F195" s="7" t="str">
        <f t="shared" ref="F195:F258" si="3">IF(E195&lt;=D195,"On Budget","Over Budget")</f>
        <v>Over Budget</v>
      </c>
      <c r="G195" s="7"/>
    </row>
    <row r="196" spans="1:7" x14ac:dyDescent="0.25">
      <c r="A196" s="7" t="s">
        <v>10</v>
      </c>
      <c r="B196" s="7" t="s">
        <v>13</v>
      </c>
      <c r="C196" s="7" t="s">
        <v>21</v>
      </c>
      <c r="D196" s="7">
        <v>9217</v>
      </c>
      <c r="E196" s="7">
        <v>7989</v>
      </c>
      <c r="F196" s="7" t="str">
        <f t="shared" si="3"/>
        <v>On Budget</v>
      </c>
      <c r="G196" s="7" t="s">
        <v>32</v>
      </c>
    </row>
    <row r="197" spans="1:7" x14ac:dyDescent="0.25">
      <c r="A197" s="7" t="s">
        <v>12</v>
      </c>
      <c r="B197" s="7" t="s">
        <v>18</v>
      </c>
      <c r="C197" s="7" t="s">
        <v>21</v>
      </c>
      <c r="D197" s="7">
        <v>5890</v>
      </c>
      <c r="E197" s="7">
        <v>9929</v>
      </c>
      <c r="F197" s="7" t="str">
        <f t="shared" si="3"/>
        <v>Over Budget</v>
      </c>
      <c r="G197" s="7" t="s">
        <v>34</v>
      </c>
    </row>
    <row r="198" spans="1:7" x14ac:dyDescent="0.25">
      <c r="A198" s="7" t="s">
        <v>9</v>
      </c>
      <c r="B198" s="7" t="s">
        <v>13</v>
      </c>
      <c r="C198" s="7" t="s">
        <v>31</v>
      </c>
      <c r="D198" s="7">
        <v>5854</v>
      </c>
      <c r="E198" s="7">
        <v>8953</v>
      </c>
      <c r="F198" s="7" t="str">
        <f t="shared" si="3"/>
        <v>Over Budget</v>
      </c>
      <c r="G198" s="7"/>
    </row>
    <row r="199" spans="1:7" x14ac:dyDescent="0.25">
      <c r="A199" s="7" t="s">
        <v>12</v>
      </c>
      <c r="B199" s="7" t="s">
        <v>14</v>
      </c>
      <c r="C199" s="7" t="s">
        <v>23</v>
      </c>
      <c r="D199" s="7">
        <v>8987</v>
      </c>
      <c r="E199" s="7">
        <v>9571</v>
      </c>
      <c r="F199" s="7" t="str">
        <f t="shared" si="3"/>
        <v>Over Budget</v>
      </c>
      <c r="G199" s="7"/>
    </row>
    <row r="200" spans="1:7" x14ac:dyDescent="0.25">
      <c r="A200" s="7" t="s">
        <v>10</v>
      </c>
      <c r="B200" s="7" t="s">
        <v>16</v>
      </c>
      <c r="C200" s="7" t="s">
        <v>25</v>
      </c>
      <c r="D200" s="7">
        <v>5671</v>
      </c>
      <c r="E200" s="7">
        <v>4006</v>
      </c>
      <c r="F200" s="7" t="str">
        <f t="shared" si="3"/>
        <v>On Budget</v>
      </c>
      <c r="G200" s="7" t="s">
        <v>34</v>
      </c>
    </row>
    <row r="201" spans="1:7" x14ac:dyDescent="0.25">
      <c r="A201" s="7" t="s">
        <v>12</v>
      </c>
      <c r="B201" s="7" t="s">
        <v>13</v>
      </c>
      <c r="C201" s="7" t="s">
        <v>22</v>
      </c>
      <c r="D201" s="7">
        <v>7645</v>
      </c>
      <c r="E201" s="7">
        <v>8793</v>
      </c>
      <c r="F201" s="7" t="str">
        <f t="shared" si="3"/>
        <v>Over Budget</v>
      </c>
      <c r="G201" s="7" t="s">
        <v>34</v>
      </c>
    </row>
    <row r="202" spans="1:7" x14ac:dyDescent="0.25">
      <c r="A202" s="7" t="s">
        <v>7</v>
      </c>
      <c r="B202" s="7" t="s">
        <v>16</v>
      </c>
      <c r="C202" s="7" t="s">
        <v>22</v>
      </c>
      <c r="D202" s="7">
        <v>4069</v>
      </c>
      <c r="E202" s="7">
        <v>6768</v>
      </c>
      <c r="F202" s="7" t="str">
        <f t="shared" si="3"/>
        <v>Over Budget</v>
      </c>
      <c r="G202" s="7" t="s">
        <v>33</v>
      </c>
    </row>
    <row r="203" spans="1:7" x14ac:dyDescent="0.25">
      <c r="A203" s="7" t="s">
        <v>12</v>
      </c>
      <c r="B203" s="7" t="s">
        <v>15</v>
      </c>
      <c r="C203" s="7" t="s">
        <v>23</v>
      </c>
      <c r="D203" s="7">
        <v>9969</v>
      </c>
      <c r="E203" s="7">
        <v>4144</v>
      </c>
      <c r="F203" s="7" t="str">
        <f t="shared" si="3"/>
        <v>On Budget</v>
      </c>
      <c r="G203" s="7" t="s">
        <v>33</v>
      </c>
    </row>
    <row r="204" spans="1:7" x14ac:dyDescent="0.25">
      <c r="A204" s="7" t="s">
        <v>10</v>
      </c>
      <c r="B204" s="7" t="s">
        <v>16</v>
      </c>
      <c r="C204" s="7" t="s">
        <v>29</v>
      </c>
      <c r="D204" s="7">
        <v>8571</v>
      </c>
      <c r="E204" s="7">
        <v>4484</v>
      </c>
      <c r="F204" s="7" t="str">
        <f t="shared" si="3"/>
        <v>On Budget</v>
      </c>
      <c r="G204" s="7" t="s">
        <v>35</v>
      </c>
    </row>
    <row r="205" spans="1:7" x14ac:dyDescent="0.25">
      <c r="A205" s="7" t="s">
        <v>6</v>
      </c>
      <c r="B205" s="7" t="s">
        <v>16</v>
      </c>
      <c r="C205" s="7" t="s">
        <v>22</v>
      </c>
      <c r="D205" s="7">
        <v>2317</v>
      </c>
      <c r="E205" s="7">
        <v>3315</v>
      </c>
      <c r="F205" s="7" t="str">
        <f t="shared" si="3"/>
        <v>Over Budget</v>
      </c>
      <c r="G205" s="7" t="s">
        <v>32</v>
      </c>
    </row>
    <row r="206" spans="1:7" x14ac:dyDescent="0.25">
      <c r="A206" s="7" t="s">
        <v>9</v>
      </c>
      <c r="B206" s="7" t="s">
        <v>15</v>
      </c>
      <c r="C206" s="7" t="s">
        <v>31</v>
      </c>
      <c r="D206" s="7">
        <v>6392</v>
      </c>
      <c r="E206" s="7">
        <v>4497</v>
      </c>
      <c r="F206" s="7" t="str">
        <f t="shared" si="3"/>
        <v>On Budget</v>
      </c>
      <c r="G206" s="7" t="s">
        <v>35</v>
      </c>
    </row>
    <row r="207" spans="1:7" x14ac:dyDescent="0.25">
      <c r="A207" s="7" t="s">
        <v>8</v>
      </c>
      <c r="B207" s="7" t="s">
        <v>13</v>
      </c>
      <c r="C207" s="7" t="s">
        <v>22</v>
      </c>
      <c r="D207" s="7">
        <v>4259</v>
      </c>
      <c r="E207" s="7">
        <v>7720</v>
      </c>
      <c r="F207" s="7" t="str">
        <f t="shared" si="3"/>
        <v>Over Budget</v>
      </c>
      <c r="G207" s="7" t="s">
        <v>32</v>
      </c>
    </row>
    <row r="208" spans="1:7" x14ac:dyDescent="0.25">
      <c r="A208" s="7" t="s">
        <v>12</v>
      </c>
      <c r="B208" s="7" t="s">
        <v>16</v>
      </c>
      <c r="C208" s="7" t="s">
        <v>23</v>
      </c>
      <c r="D208" s="7">
        <v>8774</v>
      </c>
      <c r="E208" s="7">
        <v>2623</v>
      </c>
      <c r="F208" s="7" t="str">
        <f t="shared" si="3"/>
        <v>On Budget</v>
      </c>
      <c r="G208" s="7"/>
    </row>
    <row r="209" spans="1:7" x14ac:dyDescent="0.25">
      <c r="A209" s="7" t="s">
        <v>7</v>
      </c>
      <c r="B209" s="7" t="s">
        <v>14</v>
      </c>
      <c r="C209" s="7" t="s">
        <v>21</v>
      </c>
      <c r="D209" s="7">
        <v>1581</v>
      </c>
      <c r="E209" s="7">
        <v>9313</v>
      </c>
      <c r="F209" s="7" t="str">
        <f t="shared" si="3"/>
        <v>Over Budget</v>
      </c>
      <c r="G209" s="7"/>
    </row>
    <row r="210" spans="1:7" x14ac:dyDescent="0.25">
      <c r="A210" s="7" t="s">
        <v>11</v>
      </c>
      <c r="B210" s="7" t="s">
        <v>13</v>
      </c>
      <c r="C210" s="7" t="s">
        <v>25</v>
      </c>
      <c r="D210" s="7">
        <v>1411</v>
      </c>
      <c r="E210" s="7">
        <v>10859</v>
      </c>
      <c r="F210" s="7" t="str">
        <f t="shared" si="3"/>
        <v>Over Budget</v>
      </c>
      <c r="G210" s="7" t="s">
        <v>33</v>
      </c>
    </row>
    <row r="211" spans="1:7" x14ac:dyDescent="0.25">
      <c r="A211" s="7" t="s">
        <v>10</v>
      </c>
      <c r="B211" s="7" t="s">
        <v>18</v>
      </c>
      <c r="C211" s="7" t="s">
        <v>23</v>
      </c>
      <c r="D211" s="7">
        <v>2510</v>
      </c>
      <c r="E211" s="7">
        <v>829</v>
      </c>
      <c r="F211" s="7" t="str">
        <f t="shared" si="3"/>
        <v>On Budget</v>
      </c>
      <c r="G211" s="7" t="s">
        <v>33</v>
      </c>
    </row>
    <row r="212" spans="1:7" x14ac:dyDescent="0.25">
      <c r="A212" s="7" t="s">
        <v>11</v>
      </c>
      <c r="B212" s="7" t="s">
        <v>19</v>
      </c>
      <c r="C212" s="7" t="s">
        <v>26</v>
      </c>
      <c r="D212" s="7">
        <v>3999</v>
      </c>
      <c r="E212" s="7">
        <v>5731</v>
      </c>
      <c r="F212" s="7" t="str">
        <f t="shared" si="3"/>
        <v>Over Budget</v>
      </c>
      <c r="G212" s="7" t="s">
        <v>32</v>
      </c>
    </row>
    <row r="213" spans="1:7" x14ac:dyDescent="0.25">
      <c r="A213" s="7" t="s">
        <v>10</v>
      </c>
      <c r="B213" s="7" t="s">
        <v>19</v>
      </c>
      <c r="C213" s="7" t="s">
        <v>30</v>
      </c>
      <c r="D213" s="7">
        <v>3437</v>
      </c>
      <c r="E213" s="7">
        <v>7101</v>
      </c>
      <c r="F213" s="7" t="str">
        <f t="shared" si="3"/>
        <v>Over Budget</v>
      </c>
      <c r="G213" s="7" t="s">
        <v>34</v>
      </c>
    </row>
    <row r="214" spans="1:7" x14ac:dyDescent="0.25">
      <c r="A214" s="7" t="s">
        <v>8</v>
      </c>
      <c r="B214" s="7" t="s">
        <v>17</v>
      </c>
      <c r="C214" s="7" t="s">
        <v>30</v>
      </c>
      <c r="D214" s="7">
        <v>2037</v>
      </c>
      <c r="E214" s="7">
        <v>5070</v>
      </c>
      <c r="F214" s="7" t="str">
        <f t="shared" si="3"/>
        <v>Over Budget</v>
      </c>
      <c r="G214" s="7" t="s">
        <v>35</v>
      </c>
    </row>
    <row r="215" spans="1:7" x14ac:dyDescent="0.25">
      <c r="A215" s="7" t="s">
        <v>11</v>
      </c>
      <c r="B215" s="7" t="s">
        <v>13</v>
      </c>
      <c r="C215" s="7" t="s">
        <v>27</v>
      </c>
      <c r="D215" s="7">
        <v>4731</v>
      </c>
      <c r="E215" s="7">
        <v>9374</v>
      </c>
      <c r="F215" s="7" t="str">
        <f t="shared" si="3"/>
        <v>Over Budget</v>
      </c>
      <c r="G215" s="7" t="s">
        <v>33</v>
      </c>
    </row>
    <row r="216" spans="1:7" x14ac:dyDescent="0.25">
      <c r="A216" s="7" t="s">
        <v>7</v>
      </c>
      <c r="B216" s="7" t="s">
        <v>18</v>
      </c>
      <c r="C216" s="7" t="s">
        <v>21</v>
      </c>
      <c r="D216" s="7">
        <v>4308</v>
      </c>
      <c r="E216" s="7">
        <v>10473</v>
      </c>
      <c r="F216" s="7" t="str">
        <f t="shared" si="3"/>
        <v>Over Budget</v>
      </c>
      <c r="G216" s="7" t="s">
        <v>35</v>
      </c>
    </row>
    <row r="217" spans="1:7" x14ac:dyDescent="0.25">
      <c r="A217" s="7" t="s">
        <v>7</v>
      </c>
      <c r="B217" s="7" t="s">
        <v>13</v>
      </c>
      <c r="C217" s="7" t="s">
        <v>29</v>
      </c>
      <c r="D217" s="7">
        <v>4627</v>
      </c>
      <c r="E217" s="7">
        <v>4041</v>
      </c>
      <c r="F217" s="7" t="str">
        <f t="shared" si="3"/>
        <v>On Budget</v>
      </c>
      <c r="G217" s="7" t="s">
        <v>35</v>
      </c>
    </row>
    <row r="218" spans="1:7" x14ac:dyDescent="0.25">
      <c r="A218" s="7" t="s">
        <v>12</v>
      </c>
      <c r="B218" s="7" t="s">
        <v>19</v>
      </c>
      <c r="C218" s="7" t="s">
        <v>31</v>
      </c>
      <c r="D218" s="7">
        <v>6862</v>
      </c>
      <c r="E218" s="7">
        <v>3032</v>
      </c>
      <c r="F218" s="7" t="str">
        <f t="shared" si="3"/>
        <v>On Budget</v>
      </c>
      <c r="G218" s="7" t="s">
        <v>33</v>
      </c>
    </row>
    <row r="219" spans="1:7" x14ac:dyDescent="0.25">
      <c r="A219" s="7" t="s">
        <v>12</v>
      </c>
      <c r="B219" s="7" t="s">
        <v>18</v>
      </c>
      <c r="C219" s="7" t="s">
        <v>26</v>
      </c>
      <c r="D219" s="7">
        <v>7844</v>
      </c>
      <c r="E219" s="7">
        <v>4955</v>
      </c>
      <c r="F219" s="7" t="str">
        <f t="shared" si="3"/>
        <v>On Budget</v>
      </c>
      <c r="G219" s="7" t="s">
        <v>35</v>
      </c>
    </row>
    <row r="220" spans="1:7" x14ac:dyDescent="0.25">
      <c r="A220" s="7" t="s">
        <v>9</v>
      </c>
      <c r="B220" s="7" t="s">
        <v>18</v>
      </c>
      <c r="C220" s="7" t="s">
        <v>23</v>
      </c>
      <c r="D220" s="7">
        <v>2516</v>
      </c>
      <c r="E220" s="7">
        <v>9990</v>
      </c>
      <c r="F220" s="7" t="str">
        <f t="shared" si="3"/>
        <v>Over Budget</v>
      </c>
      <c r="G220" s="7" t="s">
        <v>34</v>
      </c>
    </row>
    <row r="221" spans="1:7" x14ac:dyDescent="0.25">
      <c r="A221" s="7" t="s">
        <v>7</v>
      </c>
      <c r="B221" s="7" t="s">
        <v>16</v>
      </c>
      <c r="C221" s="7" t="s">
        <v>23</v>
      </c>
      <c r="D221" s="7">
        <v>1092</v>
      </c>
      <c r="E221" s="7">
        <v>6186</v>
      </c>
      <c r="F221" s="7" t="str">
        <f t="shared" si="3"/>
        <v>Over Budget</v>
      </c>
      <c r="G221" s="7"/>
    </row>
    <row r="222" spans="1:7" x14ac:dyDescent="0.25">
      <c r="A222" s="7" t="s">
        <v>8</v>
      </c>
      <c r="B222" s="7" t="s">
        <v>19</v>
      </c>
      <c r="C222" s="7" t="s">
        <v>31</v>
      </c>
      <c r="D222" s="7">
        <v>8416</v>
      </c>
      <c r="E222" s="7">
        <v>2902</v>
      </c>
      <c r="F222" s="7" t="str">
        <f t="shared" si="3"/>
        <v>On Budget</v>
      </c>
      <c r="G222" s="7"/>
    </row>
    <row r="223" spans="1:7" x14ac:dyDescent="0.25">
      <c r="A223" s="7" t="s">
        <v>10</v>
      </c>
      <c r="B223" s="7" t="s">
        <v>13</v>
      </c>
      <c r="C223" s="7" t="s">
        <v>27</v>
      </c>
      <c r="D223" s="7">
        <v>2566</v>
      </c>
      <c r="E223" s="7">
        <v>10511</v>
      </c>
      <c r="F223" s="7" t="str">
        <f t="shared" si="3"/>
        <v>Over Budget</v>
      </c>
      <c r="G223" s="7"/>
    </row>
    <row r="224" spans="1:7" x14ac:dyDescent="0.25">
      <c r="A224" s="7" t="s">
        <v>10</v>
      </c>
      <c r="B224" s="7" t="s">
        <v>18</v>
      </c>
      <c r="C224" s="7" t="s">
        <v>28</v>
      </c>
      <c r="D224" s="7">
        <v>2370</v>
      </c>
      <c r="E224" s="7">
        <v>4561</v>
      </c>
      <c r="F224" s="7" t="str">
        <f t="shared" si="3"/>
        <v>Over Budget</v>
      </c>
      <c r="G224" s="7"/>
    </row>
    <row r="225" spans="1:7" x14ac:dyDescent="0.25">
      <c r="A225" s="7" t="s">
        <v>7</v>
      </c>
      <c r="B225" s="7" t="s">
        <v>14</v>
      </c>
      <c r="C225" s="7" t="s">
        <v>22</v>
      </c>
      <c r="D225" s="7">
        <v>3482</v>
      </c>
      <c r="E225" s="7">
        <v>11562</v>
      </c>
      <c r="F225" s="7" t="str">
        <f t="shared" si="3"/>
        <v>Over Budget</v>
      </c>
      <c r="G225" s="7" t="s">
        <v>34</v>
      </c>
    </row>
    <row r="226" spans="1:7" x14ac:dyDescent="0.25">
      <c r="A226" s="7" t="s">
        <v>7</v>
      </c>
      <c r="B226" s="7" t="s">
        <v>18</v>
      </c>
      <c r="C226" s="7" t="s">
        <v>23</v>
      </c>
      <c r="D226" s="7">
        <v>3696</v>
      </c>
      <c r="E226" s="7">
        <v>6289</v>
      </c>
      <c r="F226" s="7" t="str">
        <f t="shared" si="3"/>
        <v>Over Budget</v>
      </c>
      <c r="G226" s="7" t="s">
        <v>33</v>
      </c>
    </row>
    <row r="227" spans="1:7" x14ac:dyDescent="0.25">
      <c r="A227" s="7" t="s">
        <v>8</v>
      </c>
      <c r="B227" s="7" t="s">
        <v>17</v>
      </c>
      <c r="C227" s="7" t="s">
        <v>29</v>
      </c>
      <c r="D227" s="7">
        <v>3146</v>
      </c>
      <c r="E227" s="7">
        <v>8730</v>
      </c>
      <c r="F227" s="7" t="str">
        <f t="shared" si="3"/>
        <v>Over Budget</v>
      </c>
      <c r="G227" s="7" t="s">
        <v>35</v>
      </c>
    </row>
    <row r="228" spans="1:7" x14ac:dyDescent="0.25">
      <c r="A228" s="7" t="s">
        <v>7</v>
      </c>
      <c r="B228" s="7" t="s">
        <v>18</v>
      </c>
      <c r="C228" s="7" t="s">
        <v>25</v>
      </c>
      <c r="D228" s="7">
        <v>5311</v>
      </c>
      <c r="E228" s="7">
        <v>5567</v>
      </c>
      <c r="F228" s="7" t="str">
        <f t="shared" si="3"/>
        <v>Over Budget</v>
      </c>
      <c r="G228" s="7" t="s">
        <v>34</v>
      </c>
    </row>
    <row r="229" spans="1:7" x14ac:dyDescent="0.25">
      <c r="A229" s="7" t="s">
        <v>12</v>
      </c>
      <c r="B229" s="7" t="s">
        <v>19</v>
      </c>
      <c r="C229" s="7" t="s">
        <v>30</v>
      </c>
      <c r="D229" s="7">
        <v>6783</v>
      </c>
      <c r="E229" s="7">
        <v>2722</v>
      </c>
      <c r="F229" s="7" t="str">
        <f t="shared" si="3"/>
        <v>On Budget</v>
      </c>
      <c r="G229" s="7" t="s">
        <v>34</v>
      </c>
    </row>
    <row r="230" spans="1:7" x14ac:dyDescent="0.25">
      <c r="A230" s="7" t="s">
        <v>9</v>
      </c>
      <c r="B230" s="7" t="s">
        <v>14</v>
      </c>
      <c r="C230" s="7" t="s">
        <v>25</v>
      </c>
      <c r="D230" s="7">
        <v>3051</v>
      </c>
      <c r="E230" s="7">
        <v>4973</v>
      </c>
      <c r="F230" s="7" t="str">
        <f t="shared" si="3"/>
        <v>Over Budget</v>
      </c>
      <c r="G230" s="7" t="s">
        <v>33</v>
      </c>
    </row>
    <row r="231" spans="1:7" x14ac:dyDescent="0.25">
      <c r="A231" s="7" t="s">
        <v>11</v>
      </c>
      <c r="B231" s="7" t="s">
        <v>19</v>
      </c>
      <c r="C231" s="7" t="s">
        <v>23</v>
      </c>
      <c r="D231" s="7">
        <v>7063</v>
      </c>
      <c r="E231" s="7">
        <v>11541</v>
      </c>
      <c r="F231" s="7" t="str">
        <f t="shared" si="3"/>
        <v>Over Budget</v>
      </c>
      <c r="G231" s="7" t="s">
        <v>33</v>
      </c>
    </row>
    <row r="232" spans="1:7" x14ac:dyDescent="0.25">
      <c r="A232" s="7" t="s">
        <v>10</v>
      </c>
      <c r="B232" s="7" t="s">
        <v>17</v>
      </c>
      <c r="C232" s="7" t="s">
        <v>27</v>
      </c>
      <c r="D232" s="7">
        <v>1725</v>
      </c>
      <c r="E232" s="7">
        <v>6868</v>
      </c>
      <c r="F232" s="7" t="str">
        <f t="shared" si="3"/>
        <v>Over Budget</v>
      </c>
      <c r="G232" s="7"/>
    </row>
    <row r="233" spans="1:7" x14ac:dyDescent="0.25">
      <c r="A233" s="7" t="s">
        <v>12</v>
      </c>
      <c r="B233" s="7" t="s">
        <v>14</v>
      </c>
      <c r="C233" s="7" t="s">
        <v>28</v>
      </c>
      <c r="D233" s="7">
        <v>5794</v>
      </c>
      <c r="E233" s="7">
        <v>11277</v>
      </c>
      <c r="F233" s="7" t="str">
        <f t="shared" si="3"/>
        <v>Over Budget</v>
      </c>
      <c r="G233" s="7" t="s">
        <v>34</v>
      </c>
    </row>
    <row r="234" spans="1:7" x14ac:dyDescent="0.25">
      <c r="A234" s="7" t="s">
        <v>11</v>
      </c>
      <c r="B234" s="7" t="s">
        <v>15</v>
      </c>
      <c r="C234" s="7" t="s">
        <v>28</v>
      </c>
      <c r="D234" s="7">
        <v>9028</v>
      </c>
      <c r="E234" s="7">
        <v>7225</v>
      </c>
      <c r="F234" s="7" t="str">
        <f t="shared" si="3"/>
        <v>On Budget</v>
      </c>
      <c r="G234" s="7" t="s">
        <v>33</v>
      </c>
    </row>
    <row r="235" spans="1:7" x14ac:dyDescent="0.25">
      <c r="A235" s="7" t="s">
        <v>11</v>
      </c>
      <c r="B235" s="7" t="s">
        <v>16</v>
      </c>
      <c r="C235" s="7" t="s">
        <v>29</v>
      </c>
      <c r="D235" s="7">
        <v>3737</v>
      </c>
      <c r="E235" s="7">
        <v>11355</v>
      </c>
      <c r="F235" s="7" t="str">
        <f t="shared" si="3"/>
        <v>Over Budget</v>
      </c>
      <c r="G235" s="7"/>
    </row>
    <row r="236" spans="1:7" x14ac:dyDescent="0.25">
      <c r="A236" s="7" t="s">
        <v>8</v>
      </c>
      <c r="B236" s="7" t="s">
        <v>16</v>
      </c>
      <c r="C236" s="7" t="s">
        <v>22</v>
      </c>
      <c r="D236" s="7">
        <v>8956</v>
      </c>
      <c r="E236" s="7">
        <v>4518</v>
      </c>
      <c r="F236" s="7" t="str">
        <f t="shared" si="3"/>
        <v>On Budget</v>
      </c>
      <c r="G236" s="7" t="s">
        <v>32</v>
      </c>
    </row>
    <row r="237" spans="1:7" x14ac:dyDescent="0.25">
      <c r="A237" s="7" t="s">
        <v>6</v>
      </c>
      <c r="B237" s="7" t="s">
        <v>14</v>
      </c>
      <c r="C237" s="7" t="s">
        <v>21</v>
      </c>
      <c r="D237" s="7">
        <v>9697</v>
      </c>
      <c r="E237" s="7">
        <v>1217</v>
      </c>
      <c r="F237" s="7" t="str">
        <f t="shared" si="3"/>
        <v>On Budget</v>
      </c>
      <c r="G237" s="7"/>
    </row>
    <row r="238" spans="1:7" x14ac:dyDescent="0.25">
      <c r="A238" s="7" t="s">
        <v>11</v>
      </c>
      <c r="B238" s="7" t="s">
        <v>17</v>
      </c>
      <c r="C238" s="7" t="s">
        <v>27</v>
      </c>
      <c r="D238" s="7">
        <v>5137</v>
      </c>
      <c r="E238" s="7">
        <v>2621</v>
      </c>
      <c r="F238" s="7" t="str">
        <f t="shared" si="3"/>
        <v>On Budget</v>
      </c>
      <c r="G238" s="7" t="s">
        <v>35</v>
      </c>
    </row>
    <row r="239" spans="1:7" x14ac:dyDescent="0.25">
      <c r="A239" s="7" t="s">
        <v>9</v>
      </c>
      <c r="B239" s="7" t="s">
        <v>17</v>
      </c>
      <c r="C239" s="7" t="s">
        <v>24</v>
      </c>
      <c r="D239" s="7">
        <v>5909</v>
      </c>
      <c r="E239" s="7">
        <v>1649</v>
      </c>
      <c r="F239" s="7" t="str">
        <f t="shared" si="3"/>
        <v>On Budget</v>
      </c>
      <c r="G239" s="7"/>
    </row>
    <row r="240" spans="1:7" x14ac:dyDescent="0.25">
      <c r="A240" s="7" t="s">
        <v>6</v>
      </c>
      <c r="B240" s="7" t="s">
        <v>15</v>
      </c>
      <c r="C240" s="7" t="s">
        <v>26</v>
      </c>
      <c r="D240" s="7">
        <v>4461</v>
      </c>
      <c r="E240" s="7">
        <v>4936</v>
      </c>
      <c r="F240" s="7" t="str">
        <f t="shared" si="3"/>
        <v>Over Budget</v>
      </c>
      <c r="G240" s="7" t="s">
        <v>35</v>
      </c>
    </row>
    <row r="241" spans="1:7" x14ac:dyDescent="0.25">
      <c r="A241" s="7" t="s">
        <v>10</v>
      </c>
      <c r="B241" s="7" t="s">
        <v>16</v>
      </c>
      <c r="C241" s="7" t="s">
        <v>26</v>
      </c>
      <c r="D241" s="7">
        <v>5403</v>
      </c>
      <c r="E241" s="7">
        <v>5025</v>
      </c>
      <c r="F241" s="7" t="str">
        <f t="shared" si="3"/>
        <v>On Budget</v>
      </c>
      <c r="G241" s="7" t="s">
        <v>35</v>
      </c>
    </row>
    <row r="242" spans="1:7" x14ac:dyDescent="0.25">
      <c r="A242" s="7" t="s">
        <v>7</v>
      </c>
      <c r="B242" s="7" t="s">
        <v>17</v>
      </c>
      <c r="C242" s="7" t="s">
        <v>23</v>
      </c>
      <c r="D242" s="7">
        <v>4296</v>
      </c>
      <c r="E242" s="7">
        <v>8838</v>
      </c>
      <c r="F242" s="7" t="str">
        <f t="shared" si="3"/>
        <v>Over Budget</v>
      </c>
      <c r="G242" s="7" t="s">
        <v>34</v>
      </c>
    </row>
    <row r="243" spans="1:7" x14ac:dyDescent="0.25">
      <c r="A243" s="7" t="s">
        <v>6</v>
      </c>
      <c r="B243" s="7" t="s">
        <v>14</v>
      </c>
      <c r="C243" s="7" t="s">
        <v>30</v>
      </c>
      <c r="D243" s="7">
        <v>4887</v>
      </c>
      <c r="E243" s="7">
        <v>11039</v>
      </c>
      <c r="F243" s="7" t="str">
        <f t="shared" si="3"/>
        <v>Over Budget</v>
      </c>
      <c r="G243" s="7" t="s">
        <v>35</v>
      </c>
    </row>
    <row r="244" spans="1:7" x14ac:dyDescent="0.25">
      <c r="A244" s="7" t="s">
        <v>7</v>
      </c>
      <c r="B244" s="7" t="s">
        <v>15</v>
      </c>
      <c r="C244" s="7" t="s">
        <v>20</v>
      </c>
      <c r="D244" s="7">
        <v>7503</v>
      </c>
      <c r="E244" s="7">
        <v>7005</v>
      </c>
      <c r="F244" s="7" t="str">
        <f t="shared" si="3"/>
        <v>On Budget</v>
      </c>
      <c r="G244" s="7" t="s">
        <v>32</v>
      </c>
    </row>
    <row r="245" spans="1:7" x14ac:dyDescent="0.25">
      <c r="A245" s="7" t="s">
        <v>6</v>
      </c>
      <c r="B245" s="7" t="s">
        <v>17</v>
      </c>
      <c r="C245" s="7" t="s">
        <v>28</v>
      </c>
      <c r="D245" s="7">
        <v>4565</v>
      </c>
      <c r="E245" s="7">
        <v>11868</v>
      </c>
      <c r="F245" s="7" t="str">
        <f t="shared" si="3"/>
        <v>Over Budget</v>
      </c>
      <c r="G245" s="7" t="s">
        <v>33</v>
      </c>
    </row>
    <row r="246" spans="1:7" x14ac:dyDescent="0.25">
      <c r="A246" s="7" t="s">
        <v>8</v>
      </c>
      <c r="B246" s="7" t="s">
        <v>18</v>
      </c>
      <c r="C246" s="7" t="s">
        <v>27</v>
      </c>
      <c r="D246" s="7">
        <v>7684</v>
      </c>
      <c r="E246" s="7">
        <v>8033</v>
      </c>
      <c r="F246" s="7" t="str">
        <f t="shared" si="3"/>
        <v>Over Budget</v>
      </c>
      <c r="G246" s="7" t="s">
        <v>33</v>
      </c>
    </row>
    <row r="247" spans="1:7" x14ac:dyDescent="0.25">
      <c r="A247" s="7" t="s">
        <v>9</v>
      </c>
      <c r="B247" s="7" t="s">
        <v>17</v>
      </c>
      <c r="C247" s="7" t="s">
        <v>21</v>
      </c>
      <c r="D247" s="7">
        <v>7222</v>
      </c>
      <c r="E247" s="7">
        <v>3132</v>
      </c>
      <c r="F247" s="7" t="str">
        <f t="shared" si="3"/>
        <v>On Budget</v>
      </c>
      <c r="G247" s="7" t="s">
        <v>32</v>
      </c>
    </row>
    <row r="248" spans="1:7" x14ac:dyDescent="0.25">
      <c r="A248" s="7" t="s">
        <v>8</v>
      </c>
      <c r="B248" s="7" t="s">
        <v>14</v>
      </c>
      <c r="C248" s="7" t="s">
        <v>25</v>
      </c>
      <c r="D248" s="7">
        <v>4850</v>
      </c>
      <c r="E248" s="7">
        <v>10802</v>
      </c>
      <c r="F248" s="7" t="str">
        <f t="shared" si="3"/>
        <v>Over Budget</v>
      </c>
      <c r="G248" s="7" t="s">
        <v>32</v>
      </c>
    </row>
    <row r="249" spans="1:7" x14ac:dyDescent="0.25">
      <c r="A249" s="7" t="s">
        <v>11</v>
      </c>
      <c r="B249" s="7" t="s">
        <v>13</v>
      </c>
      <c r="C249" s="7" t="s">
        <v>30</v>
      </c>
      <c r="D249" s="7">
        <v>9903</v>
      </c>
      <c r="E249" s="7">
        <v>7267</v>
      </c>
      <c r="F249" s="7" t="str">
        <f t="shared" si="3"/>
        <v>On Budget</v>
      </c>
      <c r="G249" s="7"/>
    </row>
    <row r="250" spans="1:7" x14ac:dyDescent="0.25">
      <c r="A250" s="7" t="s">
        <v>6</v>
      </c>
      <c r="B250" s="7" t="s">
        <v>18</v>
      </c>
      <c r="C250" s="7" t="s">
        <v>26</v>
      </c>
      <c r="D250" s="7">
        <v>8977</v>
      </c>
      <c r="E250" s="7">
        <v>5891</v>
      </c>
      <c r="F250" s="7" t="str">
        <f t="shared" si="3"/>
        <v>On Budget</v>
      </c>
      <c r="G250" s="7" t="s">
        <v>32</v>
      </c>
    </row>
    <row r="251" spans="1:7" x14ac:dyDescent="0.25">
      <c r="A251" s="7" t="s">
        <v>7</v>
      </c>
      <c r="B251" s="7" t="s">
        <v>15</v>
      </c>
      <c r="C251" s="7" t="s">
        <v>20</v>
      </c>
      <c r="D251" s="7">
        <v>5480</v>
      </c>
      <c r="E251" s="7">
        <v>6988</v>
      </c>
      <c r="F251" s="7" t="str">
        <f t="shared" si="3"/>
        <v>Over Budget</v>
      </c>
      <c r="G251" s="7" t="s">
        <v>35</v>
      </c>
    </row>
    <row r="252" spans="1:7" x14ac:dyDescent="0.25">
      <c r="A252" s="7" t="s">
        <v>10</v>
      </c>
      <c r="B252" s="7" t="s">
        <v>18</v>
      </c>
      <c r="C252" s="7" t="s">
        <v>22</v>
      </c>
      <c r="D252" s="7">
        <v>5162</v>
      </c>
      <c r="E252" s="7">
        <v>2896</v>
      </c>
      <c r="F252" s="7" t="str">
        <f t="shared" si="3"/>
        <v>On Budget</v>
      </c>
      <c r="G252" s="7" t="s">
        <v>32</v>
      </c>
    </row>
    <row r="253" spans="1:7" x14ac:dyDescent="0.25">
      <c r="A253" s="7" t="s">
        <v>11</v>
      </c>
      <c r="B253" s="7" t="s">
        <v>15</v>
      </c>
      <c r="C253" s="7" t="s">
        <v>22</v>
      </c>
      <c r="D253" s="7">
        <v>1988</v>
      </c>
      <c r="E253" s="7">
        <v>2949</v>
      </c>
      <c r="F253" s="7" t="str">
        <f t="shared" si="3"/>
        <v>Over Budget</v>
      </c>
      <c r="G253" s="7" t="s">
        <v>34</v>
      </c>
    </row>
    <row r="254" spans="1:7" x14ac:dyDescent="0.25">
      <c r="A254" s="7" t="s">
        <v>6</v>
      </c>
      <c r="B254" s="7" t="s">
        <v>18</v>
      </c>
      <c r="C254" s="7" t="s">
        <v>26</v>
      </c>
      <c r="D254" s="7">
        <v>8505</v>
      </c>
      <c r="E254" s="7">
        <v>6328</v>
      </c>
      <c r="F254" s="7" t="str">
        <f t="shared" si="3"/>
        <v>On Budget</v>
      </c>
      <c r="G254" s="7" t="s">
        <v>32</v>
      </c>
    </row>
    <row r="255" spans="1:7" x14ac:dyDescent="0.25">
      <c r="A255" s="7" t="s">
        <v>10</v>
      </c>
      <c r="B255" s="7" t="s">
        <v>13</v>
      </c>
      <c r="C255" s="7" t="s">
        <v>28</v>
      </c>
      <c r="D255" s="7">
        <v>8322</v>
      </c>
      <c r="E255" s="7">
        <v>3280</v>
      </c>
      <c r="F255" s="7" t="str">
        <f t="shared" si="3"/>
        <v>On Budget</v>
      </c>
      <c r="G255" s="7" t="s">
        <v>33</v>
      </c>
    </row>
    <row r="256" spans="1:7" x14ac:dyDescent="0.25">
      <c r="A256" s="7" t="s">
        <v>10</v>
      </c>
      <c r="B256" s="7" t="s">
        <v>19</v>
      </c>
      <c r="C256" s="7" t="s">
        <v>20</v>
      </c>
      <c r="D256" s="7">
        <v>5889</v>
      </c>
      <c r="E256" s="7">
        <v>11407</v>
      </c>
      <c r="F256" s="7" t="str">
        <f t="shared" si="3"/>
        <v>Over Budget</v>
      </c>
      <c r="G256" s="7" t="s">
        <v>32</v>
      </c>
    </row>
    <row r="257" spans="1:7" x14ac:dyDescent="0.25">
      <c r="A257" s="7" t="s">
        <v>6</v>
      </c>
      <c r="B257" s="7" t="s">
        <v>14</v>
      </c>
      <c r="C257" s="7" t="s">
        <v>27</v>
      </c>
      <c r="D257" s="7">
        <v>3770</v>
      </c>
      <c r="E257" s="7">
        <v>2148</v>
      </c>
      <c r="F257" s="7" t="str">
        <f t="shared" si="3"/>
        <v>On Budget</v>
      </c>
      <c r="G257" s="7"/>
    </row>
    <row r="258" spans="1:7" x14ac:dyDescent="0.25">
      <c r="A258" s="7" t="s">
        <v>7</v>
      </c>
      <c r="B258" s="7" t="s">
        <v>17</v>
      </c>
      <c r="C258" s="7" t="s">
        <v>31</v>
      </c>
      <c r="D258" s="7">
        <v>5971</v>
      </c>
      <c r="E258" s="7">
        <v>9057</v>
      </c>
      <c r="F258" s="7" t="str">
        <f t="shared" si="3"/>
        <v>Over Budget</v>
      </c>
      <c r="G258" s="7" t="s">
        <v>32</v>
      </c>
    </row>
    <row r="259" spans="1:7" x14ac:dyDescent="0.25">
      <c r="A259" s="7" t="s">
        <v>8</v>
      </c>
      <c r="B259" s="7" t="s">
        <v>15</v>
      </c>
      <c r="C259" s="7" t="s">
        <v>25</v>
      </c>
      <c r="D259" s="7">
        <v>8040</v>
      </c>
      <c r="E259" s="7">
        <v>11687</v>
      </c>
      <c r="F259" s="7" t="str">
        <f t="shared" ref="F259:F322" si="4">IF(E259&lt;=D259,"On Budget","Over Budget")</f>
        <v>Over Budget</v>
      </c>
      <c r="G259" s="7" t="s">
        <v>35</v>
      </c>
    </row>
    <row r="260" spans="1:7" x14ac:dyDescent="0.25">
      <c r="A260" s="7" t="s">
        <v>10</v>
      </c>
      <c r="B260" s="7" t="s">
        <v>15</v>
      </c>
      <c r="C260" s="7" t="s">
        <v>25</v>
      </c>
      <c r="D260" s="7">
        <v>6994</v>
      </c>
      <c r="E260" s="7">
        <v>1587</v>
      </c>
      <c r="F260" s="7" t="str">
        <f t="shared" si="4"/>
        <v>On Budget</v>
      </c>
      <c r="G260" s="7" t="s">
        <v>35</v>
      </c>
    </row>
    <row r="261" spans="1:7" x14ac:dyDescent="0.25">
      <c r="A261" s="7" t="s">
        <v>11</v>
      </c>
      <c r="B261" s="7" t="s">
        <v>13</v>
      </c>
      <c r="C261" s="7" t="s">
        <v>22</v>
      </c>
      <c r="D261" s="7">
        <v>5914</v>
      </c>
      <c r="E261" s="7">
        <v>8379</v>
      </c>
      <c r="F261" s="7" t="str">
        <f t="shared" si="4"/>
        <v>Over Budget</v>
      </c>
      <c r="G261" s="7" t="s">
        <v>35</v>
      </c>
    </row>
    <row r="262" spans="1:7" x14ac:dyDescent="0.25">
      <c r="A262" s="7" t="s">
        <v>10</v>
      </c>
      <c r="B262" s="7" t="s">
        <v>16</v>
      </c>
      <c r="C262" s="7" t="s">
        <v>27</v>
      </c>
      <c r="D262" s="7">
        <v>3620</v>
      </c>
      <c r="E262" s="7">
        <v>3030</v>
      </c>
      <c r="F262" s="7" t="str">
        <f t="shared" si="4"/>
        <v>On Budget</v>
      </c>
      <c r="G262" s="7" t="s">
        <v>32</v>
      </c>
    </row>
    <row r="263" spans="1:7" x14ac:dyDescent="0.25">
      <c r="A263" s="7" t="s">
        <v>9</v>
      </c>
      <c r="B263" s="7" t="s">
        <v>19</v>
      </c>
      <c r="C263" s="7" t="s">
        <v>30</v>
      </c>
      <c r="D263" s="7">
        <v>7143</v>
      </c>
      <c r="E263" s="7">
        <v>9689</v>
      </c>
      <c r="F263" s="7" t="str">
        <f t="shared" si="4"/>
        <v>Over Budget</v>
      </c>
      <c r="G263" s="7" t="s">
        <v>32</v>
      </c>
    </row>
    <row r="264" spans="1:7" x14ac:dyDescent="0.25">
      <c r="A264" s="7" t="s">
        <v>12</v>
      </c>
      <c r="B264" s="7" t="s">
        <v>16</v>
      </c>
      <c r="C264" s="7" t="s">
        <v>31</v>
      </c>
      <c r="D264" s="7">
        <v>9061</v>
      </c>
      <c r="E264" s="7">
        <v>2491</v>
      </c>
      <c r="F264" s="7" t="str">
        <f t="shared" si="4"/>
        <v>On Budget</v>
      </c>
      <c r="G264" s="7" t="s">
        <v>34</v>
      </c>
    </row>
    <row r="265" spans="1:7" x14ac:dyDescent="0.25">
      <c r="A265" s="7" t="s">
        <v>12</v>
      </c>
      <c r="B265" s="7" t="s">
        <v>15</v>
      </c>
      <c r="C265" s="7" t="s">
        <v>29</v>
      </c>
      <c r="D265" s="7">
        <v>7272</v>
      </c>
      <c r="E265" s="7">
        <v>5363</v>
      </c>
      <c r="F265" s="7" t="str">
        <f t="shared" si="4"/>
        <v>On Budget</v>
      </c>
      <c r="G265" s="7" t="s">
        <v>33</v>
      </c>
    </row>
    <row r="266" spans="1:7" x14ac:dyDescent="0.25">
      <c r="A266" s="7" t="s">
        <v>10</v>
      </c>
      <c r="B266" s="7" t="s">
        <v>16</v>
      </c>
      <c r="C266" s="7" t="s">
        <v>26</v>
      </c>
      <c r="D266" s="7">
        <v>1144</v>
      </c>
      <c r="E266" s="7">
        <v>1264</v>
      </c>
      <c r="F266" s="7" t="str">
        <f t="shared" si="4"/>
        <v>Over Budget</v>
      </c>
      <c r="G266" s="7"/>
    </row>
    <row r="267" spans="1:7" x14ac:dyDescent="0.25">
      <c r="A267" s="7" t="s">
        <v>7</v>
      </c>
      <c r="B267" s="7" t="s">
        <v>16</v>
      </c>
      <c r="C267" s="7" t="s">
        <v>21</v>
      </c>
      <c r="D267" s="7">
        <v>1574</v>
      </c>
      <c r="E267" s="7">
        <v>5204</v>
      </c>
      <c r="F267" s="7" t="str">
        <f t="shared" si="4"/>
        <v>Over Budget</v>
      </c>
      <c r="G267" s="7"/>
    </row>
    <row r="268" spans="1:7" x14ac:dyDescent="0.25">
      <c r="A268" s="7" t="s">
        <v>9</v>
      </c>
      <c r="B268" s="7" t="s">
        <v>13</v>
      </c>
      <c r="C268" s="7" t="s">
        <v>27</v>
      </c>
      <c r="D268" s="7">
        <v>2273</v>
      </c>
      <c r="E268" s="7">
        <v>9429</v>
      </c>
      <c r="F268" s="7" t="str">
        <f t="shared" si="4"/>
        <v>Over Budget</v>
      </c>
      <c r="G268" s="7" t="s">
        <v>32</v>
      </c>
    </row>
    <row r="269" spans="1:7" x14ac:dyDescent="0.25">
      <c r="A269" s="7" t="s">
        <v>11</v>
      </c>
      <c r="B269" s="7" t="s">
        <v>15</v>
      </c>
      <c r="C269" s="7" t="s">
        <v>20</v>
      </c>
      <c r="D269" s="7">
        <v>6168</v>
      </c>
      <c r="E269" s="7">
        <v>9646</v>
      </c>
      <c r="F269" s="7" t="str">
        <f t="shared" si="4"/>
        <v>Over Budget</v>
      </c>
      <c r="G269" s="7" t="s">
        <v>34</v>
      </c>
    </row>
    <row r="270" spans="1:7" x14ac:dyDescent="0.25">
      <c r="A270" s="7" t="s">
        <v>10</v>
      </c>
      <c r="B270" s="7" t="s">
        <v>14</v>
      </c>
      <c r="C270" s="7" t="s">
        <v>30</v>
      </c>
      <c r="D270" s="7">
        <v>4358</v>
      </c>
      <c r="E270" s="7">
        <v>8443</v>
      </c>
      <c r="F270" s="7" t="str">
        <f t="shared" si="4"/>
        <v>Over Budget</v>
      </c>
      <c r="G270" s="7" t="s">
        <v>34</v>
      </c>
    </row>
    <row r="271" spans="1:7" x14ac:dyDescent="0.25">
      <c r="A271" s="7" t="s">
        <v>10</v>
      </c>
      <c r="B271" s="7" t="s">
        <v>15</v>
      </c>
      <c r="C271" s="7" t="s">
        <v>29</v>
      </c>
      <c r="D271" s="7">
        <v>4347</v>
      </c>
      <c r="E271" s="7">
        <v>8891</v>
      </c>
      <c r="F271" s="7" t="str">
        <f t="shared" si="4"/>
        <v>Over Budget</v>
      </c>
      <c r="G271" s="7" t="s">
        <v>34</v>
      </c>
    </row>
    <row r="272" spans="1:7" x14ac:dyDescent="0.25">
      <c r="A272" s="7" t="s">
        <v>6</v>
      </c>
      <c r="B272" s="7" t="s">
        <v>18</v>
      </c>
      <c r="C272" s="7" t="s">
        <v>24</v>
      </c>
      <c r="D272" s="7">
        <v>7245</v>
      </c>
      <c r="E272" s="7">
        <v>3122</v>
      </c>
      <c r="F272" s="7" t="str">
        <f t="shared" si="4"/>
        <v>On Budget</v>
      </c>
      <c r="G272" s="7" t="s">
        <v>32</v>
      </c>
    </row>
    <row r="273" spans="1:7" x14ac:dyDescent="0.25">
      <c r="A273" s="7" t="s">
        <v>12</v>
      </c>
      <c r="B273" s="7" t="s">
        <v>17</v>
      </c>
      <c r="C273" s="7" t="s">
        <v>29</v>
      </c>
      <c r="D273" s="7">
        <v>4638</v>
      </c>
      <c r="E273" s="7">
        <v>11229</v>
      </c>
      <c r="F273" s="7" t="str">
        <f t="shared" si="4"/>
        <v>Over Budget</v>
      </c>
      <c r="G273" s="7"/>
    </row>
    <row r="274" spans="1:7" x14ac:dyDescent="0.25">
      <c r="A274" s="7" t="s">
        <v>6</v>
      </c>
      <c r="B274" s="7" t="s">
        <v>18</v>
      </c>
      <c r="C274" s="7" t="s">
        <v>27</v>
      </c>
      <c r="D274" s="7">
        <v>9234</v>
      </c>
      <c r="E274" s="7">
        <v>1271</v>
      </c>
      <c r="F274" s="7" t="str">
        <f t="shared" si="4"/>
        <v>On Budget</v>
      </c>
      <c r="G274" s="7" t="s">
        <v>34</v>
      </c>
    </row>
    <row r="275" spans="1:7" x14ac:dyDescent="0.25">
      <c r="A275" s="7" t="s">
        <v>9</v>
      </c>
      <c r="B275" s="7" t="s">
        <v>18</v>
      </c>
      <c r="C275" s="7" t="s">
        <v>30</v>
      </c>
      <c r="D275" s="7">
        <v>5092</v>
      </c>
      <c r="E275" s="7">
        <v>6390</v>
      </c>
      <c r="F275" s="7" t="str">
        <f t="shared" si="4"/>
        <v>Over Budget</v>
      </c>
      <c r="G275" s="7" t="s">
        <v>34</v>
      </c>
    </row>
    <row r="276" spans="1:7" x14ac:dyDescent="0.25">
      <c r="A276" s="7" t="s">
        <v>12</v>
      </c>
      <c r="B276" s="7" t="s">
        <v>15</v>
      </c>
      <c r="C276" s="7" t="s">
        <v>31</v>
      </c>
      <c r="D276" s="7">
        <v>2595</v>
      </c>
      <c r="E276" s="7">
        <v>8706</v>
      </c>
      <c r="F276" s="7" t="str">
        <f t="shared" si="4"/>
        <v>Over Budget</v>
      </c>
      <c r="G276" s="7" t="s">
        <v>32</v>
      </c>
    </row>
    <row r="277" spans="1:7" x14ac:dyDescent="0.25">
      <c r="A277" s="7" t="s">
        <v>7</v>
      </c>
      <c r="B277" s="7" t="s">
        <v>19</v>
      </c>
      <c r="C277" s="7" t="s">
        <v>29</v>
      </c>
      <c r="D277" s="7">
        <v>4919</v>
      </c>
      <c r="E277" s="7">
        <v>9472</v>
      </c>
      <c r="F277" s="7" t="str">
        <f t="shared" si="4"/>
        <v>Over Budget</v>
      </c>
      <c r="G277" s="7"/>
    </row>
    <row r="278" spans="1:7" x14ac:dyDescent="0.25">
      <c r="A278" s="7" t="s">
        <v>12</v>
      </c>
      <c r="B278" s="7" t="s">
        <v>16</v>
      </c>
      <c r="C278" s="7" t="s">
        <v>28</v>
      </c>
      <c r="D278" s="7">
        <v>8499</v>
      </c>
      <c r="E278" s="7">
        <v>807</v>
      </c>
      <c r="F278" s="7" t="str">
        <f t="shared" si="4"/>
        <v>On Budget</v>
      </c>
      <c r="G278" s="7" t="s">
        <v>33</v>
      </c>
    </row>
    <row r="279" spans="1:7" x14ac:dyDescent="0.25">
      <c r="A279" s="7" t="s">
        <v>8</v>
      </c>
      <c r="B279" s="7" t="s">
        <v>14</v>
      </c>
      <c r="C279" s="7" t="s">
        <v>23</v>
      </c>
      <c r="D279" s="7">
        <v>5447</v>
      </c>
      <c r="E279" s="7">
        <v>843</v>
      </c>
      <c r="F279" s="7" t="str">
        <f t="shared" si="4"/>
        <v>On Budget</v>
      </c>
      <c r="G279" s="7" t="s">
        <v>33</v>
      </c>
    </row>
    <row r="280" spans="1:7" x14ac:dyDescent="0.25">
      <c r="A280" s="7" t="s">
        <v>11</v>
      </c>
      <c r="B280" s="7" t="s">
        <v>13</v>
      </c>
      <c r="C280" s="7" t="s">
        <v>30</v>
      </c>
      <c r="D280" s="7">
        <v>7438</v>
      </c>
      <c r="E280" s="7">
        <v>1853</v>
      </c>
      <c r="F280" s="7" t="str">
        <f t="shared" si="4"/>
        <v>On Budget</v>
      </c>
      <c r="G280" s="7" t="s">
        <v>35</v>
      </c>
    </row>
    <row r="281" spans="1:7" x14ac:dyDescent="0.25">
      <c r="A281" s="7" t="s">
        <v>6</v>
      </c>
      <c r="B281" s="7" t="s">
        <v>19</v>
      </c>
      <c r="C281" s="7" t="s">
        <v>20</v>
      </c>
      <c r="D281" s="7">
        <v>7425</v>
      </c>
      <c r="E281" s="7">
        <v>5535</v>
      </c>
      <c r="F281" s="7" t="str">
        <f t="shared" si="4"/>
        <v>On Budget</v>
      </c>
      <c r="G281" s="7"/>
    </row>
    <row r="282" spans="1:7" x14ac:dyDescent="0.25">
      <c r="A282" s="7" t="s">
        <v>10</v>
      </c>
      <c r="B282" s="7" t="s">
        <v>13</v>
      </c>
      <c r="C282" s="7" t="s">
        <v>31</v>
      </c>
      <c r="D282" s="7">
        <v>2187</v>
      </c>
      <c r="E282" s="7">
        <v>2127</v>
      </c>
      <c r="F282" s="7" t="str">
        <f t="shared" si="4"/>
        <v>On Budget</v>
      </c>
      <c r="G282" s="7" t="s">
        <v>34</v>
      </c>
    </row>
    <row r="283" spans="1:7" x14ac:dyDescent="0.25">
      <c r="A283" s="7" t="s">
        <v>6</v>
      </c>
      <c r="B283" s="7" t="s">
        <v>19</v>
      </c>
      <c r="C283" s="7" t="s">
        <v>21</v>
      </c>
      <c r="D283" s="7">
        <v>7166</v>
      </c>
      <c r="E283" s="7">
        <v>3434</v>
      </c>
      <c r="F283" s="7" t="str">
        <f t="shared" si="4"/>
        <v>On Budget</v>
      </c>
      <c r="G283" s="7" t="s">
        <v>32</v>
      </c>
    </row>
    <row r="284" spans="1:7" x14ac:dyDescent="0.25">
      <c r="A284" s="7" t="s">
        <v>11</v>
      </c>
      <c r="B284" s="7" t="s">
        <v>19</v>
      </c>
      <c r="C284" s="7" t="s">
        <v>26</v>
      </c>
      <c r="D284" s="7">
        <v>4089</v>
      </c>
      <c r="E284" s="7">
        <v>7698</v>
      </c>
      <c r="F284" s="7" t="str">
        <f t="shared" si="4"/>
        <v>Over Budget</v>
      </c>
      <c r="G284" s="7" t="s">
        <v>35</v>
      </c>
    </row>
    <row r="285" spans="1:7" x14ac:dyDescent="0.25">
      <c r="A285" s="7" t="s">
        <v>11</v>
      </c>
      <c r="B285" s="7" t="s">
        <v>13</v>
      </c>
      <c r="C285" s="7" t="s">
        <v>27</v>
      </c>
      <c r="D285" s="7">
        <v>6958</v>
      </c>
      <c r="E285" s="7">
        <v>5651</v>
      </c>
      <c r="F285" s="7" t="str">
        <f t="shared" si="4"/>
        <v>On Budget</v>
      </c>
      <c r="G285" s="7" t="s">
        <v>33</v>
      </c>
    </row>
    <row r="286" spans="1:7" x14ac:dyDescent="0.25">
      <c r="A286" s="7" t="s">
        <v>10</v>
      </c>
      <c r="B286" s="7" t="s">
        <v>13</v>
      </c>
      <c r="C286" s="7" t="s">
        <v>20</v>
      </c>
      <c r="D286" s="7">
        <v>4206</v>
      </c>
      <c r="E286" s="7">
        <v>2616</v>
      </c>
      <c r="F286" s="7" t="str">
        <f t="shared" si="4"/>
        <v>On Budget</v>
      </c>
      <c r="G286" s="7"/>
    </row>
    <row r="287" spans="1:7" x14ac:dyDescent="0.25">
      <c r="A287" s="7" t="s">
        <v>8</v>
      </c>
      <c r="B287" s="7" t="s">
        <v>18</v>
      </c>
      <c r="C287" s="7" t="s">
        <v>28</v>
      </c>
      <c r="D287" s="7">
        <v>7470</v>
      </c>
      <c r="E287" s="7">
        <v>10266</v>
      </c>
      <c r="F287" s="7" t="str">
        <f t="shared" si="4"/>
        <v>Over Budget</v>
      </c>
      <c r="G287" s="7" t="s">
        <v>32</v>
      </c>
    </row>
    <row r="288" spans="1:7" x14ac:dyDescent="0.25">
      <c r="A288" s="7" t="s">
        <v>8</v>
      </c>
      <c r="B288" s="7" t="s">
        <v>15</v>
      </c>
      <c r="C288" s="7" t="s">
        <v>24</v>
      </c>
      <c r="D288" s="7">
        <v>3486</v>
      </c>
      <c r="E288" s="7">
        <v>9246</v>
      </c>
      <c r="F288" s="7" t="str">
        <f t="shared" si="4"/>
        <v>Over Budget</v>
      </c>
      <c r="G288" s="7" t="s">
        <v>34</v>
      </c>
    </row>
    <row r="289" spans="1:7" x14ac:dyDescent="0.25">
      <c r="A289" s="7" t="s">
        <v>8</v>
      </c>
      <c r="B289" s="7" t="s">
        <v>13</v>
      </c>
      <c r="C289" s="7" t="s">
        <v>25</v>
      </c>
      <c r="D289" s="7">
        <v>3380</v>
      </c>
      <c r="E289" s="7">
        <v>6856</v>
      </c>
      <c r="F289" s="7" t="str">
        <f t="shared" si="4"/>
        <v>Over Budget</v>
      </c>
      <c r="G289" s="7" t="s">
        <v>32</v>
      </c>
    </row>
    <row r="290" spans="1:7" x14ac:dyDescent="0.25">
      <c r="A290" s="7" t="s">
        <v>12</v>
      </c>
      <c r="B290" s="7" t="s">
        <v>16</v>
      </c>
      <c r="C290" s="7" t="s">
        <v>22</v>
      </c>
      <c r="D290" s="7">
        <v>7076</v>
      </c>
      <c r="E290" s="7">
        <v>2450</v>
      </c>
      <c r="F290" s="7" t="str">
        <f t="shared" si="4"/>
        <v>On Budget</v>
      </c>
      <c r="G290" s="7" t="s">
        <v>34</v>
      </c>
    </row>
    <row r="291" spans="1:7" x14ac:dyDescent="0.25">
      <c r="A291" s="7" t="s">
        <v>9</v>
      </c>
      <c r="B291" s="7" t="s">
        <v>14</v>
      </c>
      <c r="C291" s="7" t="s">
        <v>22</v>
      </c>
      <c r="D291" s="7">
        <v>7142</v>
      </c>
      <c r="E291" s="7">
        <v>6782</v>
      </c>
      <c r="F291" s="7" t="str">
        <f t="shared" si="4"/>
        <v>On Budget</v>
      </c>
      <c r="G291" s="7" t="s">
        <v>35</v>
      </c>
    </row>
    <row r="292" spans="1:7" x14ac:dyDescent="0.25">
      <c r="A292" s="7" t="s">
        <v>7</v>
      </c>
      <c r="B292" s="7" t="s">
        <v>16</v>
      </c>
      <c r="C292" s="7" t="s">
        <v>27</v>
      </c>
      <c r="D292" s="7">
        <v>4696</v>
      </c>
      <c r="E292" s="7">
        <v>7403</v>
      </c>
      <c r="F292" s="7" t="str">
        <f t="shared" si="4"/>
        <v>Over Budget</v>
      </c>
      <c r="G292" s="7" t="s">
        <v>33</v>
      </c>
    </row>
    <row r="293" spans="1:7" x14ac:dyDescent="0.25">
      <c r="A293" s="7" t="s">
        <v>12</v>
      </c>
      <c r="B293" s="7" t="s">
        <v>14</v>
      </c>
      <c r="C293" s="7" t="s">
        <v>30</v>
      </c>
      <c r="D293" s="7">
        <v>1982</v>
      </c>
      <c r="E293" s="7">
        <v>4862</v>
      </c>
      <c r="F293" s="7" t="str">
        <f t="shared" si="4"/>
        <v>Over Budget</v>
      </c>
      <c r="G293" s="7" t="s">
        <v>34</v>
      </c>
    </row>
    <row r="294" spans="1:7" x14ac:dyDescent="0.25">
      <c r="A294" s="7" t="s">
        <v>10</v>
      </c>
      <c r="B294" s="7" t="s">
        <v>15</v>
      </c>
      <c r="C294" s="7" t="s">
        <v>20</v>
      </c>
      <c r="D294" s="7">
        <v>9021</v>
      </c>
      <c r="E294" s="7">
        <v>8953</v>
      </c>
      <c r="F294" s="7" t="str">
        <f t="shared" si="4"/>
        <v>On Budget</v>
      </c>
      <c r="G294" s="7" t="s">
        <v>35</v>
      </c>
    </row>
    <row r="295" spans="1:7" x14ac:dyDescent="0.25">
      <c r="A295" s="7" t="s">
        <v>9</v>
      </c>
      <c r="B295" s="7" t="s">
        <v>15</v>
      </c>
      <c r="C295" s="7" t="s">
        <v>20</v>
      </c>
      <c r="D295" s="7">
        <v>9394</v>
      </c>
      <c r="E295" s="7">
        <v>3904</v>
      </c>
      <c r="F295" s="7" t="str">
        <f t="shared" si="4"/>
        <v>On Budget</v>
      </c>
      <c r="G295" s="7" t="s">
        <v>32</v>
      </c>
    </row>
    <row r="296" spans="1:7" x14ac:dyDescent="0.25">
      <c r="A296" s="7" t="s">
        <v>7</v>
      </c>
      <c r="B296" s="7" t="s">
        <v>15</v>
      </c>
      <c r="C296" s="7" t="s">
        <v>20</v>
      </c>
      <c r="D296" s="7">
        <v>5689</v>
      </c>
      <c r="E296" s="7">
        <v>5491</v>
      </c>
      <c r="F296" s="7" t="str">
        <f t="shared" si="4"/>
        <v>On Budget</v>
      </c>
      <c r="G296" s="7" t="s">
        <v>33</v>
      </c>
    </row>
    <row r="297" spans="1:7" x14ac:dyDescent="0.25">
      <c r="A297" s="7" t="s">
        <v>11</v>
      </c>
      <c r="B297" s="7" t="s">
        <v>13</v>
      </c>
      <c r="C297" s="7" t="s">
        <v>23</v>
      </c>
      <c r="D297" s="7">
        <v>9149</v>
      </c>
      <c r="E297" s="7">
        <v>6484</v>
      </c>
      <c r="F297" s="7" t="str">
        <f t="shared" si="4"/>
        <v>On Budget</v>
      </c>
      <c r="G297" s="7"/>
    </row>
    <row r="298" spans="1:7" x14ac:dyDescent="0.25">
      <c r="A298" s="7" t="s">
        <v>10</v>
      </c>
      <c r="B298" s="7" t="s">
        <v>13</v>
      </c>
      <c r="C298" s="7" t="s">
        <v>23</v>
      </c>
      <c r="D298" s="7">
        <v>3361</v>
      </c>
      <c r="E298" s="7">
        <v>8670</v>
      </c>
      <c r="F298" s="7" t="str">
        <f t="shared" si="4"/>
        <v>Over Budget</v>
      </c>
      <c r="G298" s="7" t="s">
        <v>34</v>
      </c>
    </row>
    <row r="299" spans="1:7" x14ac:dyDescent="0.25">
      <c r="A299" s="7" t="s">
        <v>7</v>
      </c>
      <c r="B299" s="7" t="s">
        <v>15</v>
      </c>
      <c r="C299" s="7" t="s">
        <v>22</v>
      </c>
      <c r="D299" s="7">
        <v>5020</v>
      </c>
      <c r="E299" s="7">
        <v>1318</v>
      </c>
      <c r="F299" s="7" t="str">
        <f t="shared" si="4"/>
        <v>On Budget</v>
      </c>
      <c r="G299" s="7"/>
    </row>
    <row r="300" spans="1:7" x14ac:dyDescent="0.25">
      <c r="A300" s="7" t="s">
        <v>9</v>
      </c>
      <c r="B300" s="7" t="s">
        <v>19</v>
      </c>
      <c r="C300" s="7" t="s">
        <v>21</v>
      </c>
      <c r="D300" s="7">
        <v>1954</v>
      </c>
      <c r="E300" s="7">
        <v>11251</v>
      </c>
      <c r="F300" s="7" t="str">
        <f t="shared" si="4"/>
        <v>Over Budget</v>
      </c>
      <c r="G300" s="7" t="s">
        <v>32</v>
      </c>
    </row>
    <row r="301" spans="1:7" x14ac:dyDescent="0.25">
      <c r="A301" s="7" t="s">
        <v>9</v>
      </c>
      <c r="B301" s="7" t="s">
        <v>19</v>
      </c>
      <c r="C301" s="7" t="s">
        <v>25</v>
      </c>
      <c r="D301" s="7">
        <v>6913</v>
      </c>
      <c r="E301" s="7">
        <v>3025</v>
      </c>
      <c r="F301" s="7" t="str">
        <f t="shared" si="4"/>
        <v>On Budget</v>
      </c>
      <c r="G301" s="7" t="s">
        <v>33</v>
      </c>
    </row>
    <row r="302" spans="1:7" x14ac:dyDescent="0.25">
      <c r="A302" s="7" t="s">
        <v>6</v>
      </c>
      <c r="B302" s="7" t="s">
        <v>14</v>
      </c>
      <c r="C302" s="7" t="s">
        <v>21</v>
      </c>
      <c r="D302" s="7">
        <v>6517</v>
      </c>
      <c r="E302" s="7">
        <v>11194</v>
      </c>
      <c r="F302" s="7" t="str">
        <f t="shared" si="4"/>
        <v>Over Budget</v>
      </c>
      <c r="G302" s="7" t="s">
        <v>32</v>
      </c>
    </row>
    <row r="303" spans="1:7" x14ac:dyDescent="0.25">
      <c r="A303" s="7" t="s">
        <v>8</v>
      </c>
      <c r="B303" s="7" t="s">
        <v>15</v>
      </c>
      <c r="C303" s="7" t="s">
        <v>23</v>
      </c>
      <c r="D303" s="7">
        <v>1265</v>
      </c>
      <c r="E303" s="7">
        <v>6688</v>
      </c>
      <c r="F303" s="7" t="str">
        <f t="shared" si="4"/>
        <v>Over Budget</v>
      </c>
      <c r="G303" s="7" t="s">
        <v>33</v>
      </c>
    </row>
    <row r="304" spans="1:7" x14ac:dyDescent="0.25">
      <c r="A304" s="7" t="s">
        <v>12</v>
      </c>
      <c r="B304" s="7" t="s">
        <v>16</v>
      </c>
      <c r="C304" s="7" t="s">
        <v>29</v>
      </c>
      <c r="D304" s="7">
        <v>8440</v>
      </c>
      <c r="E304" s="7">
        <v>1391</v>
      </c>
      <c r="F304" s="7" t="str">
        <f t="shared" si="4"/>
        <v>On Budget</v>
      </c>
      <c r="G304" s="7" t="s">
        <v>34</v>
      </c>
    </row>
    <row r="305" spans="1:7" x14ac:dyDescent="0.25">
      <c r="A305" s="7" t="s">
        <v>9</v>
      </c>
      <c r="B305" s="7" t="s">
        <v>15</v>
      </c>
      <c r="C305" s="7" t="s">
        <v>29</v>
      </c>
      <c r="D305" s="7">
        <v>4695</v>
      </c>
      <c r="E305" s="7">
        <v>5418</v>
      </c>
      <c r="F305" s="7" t="str">
        <f t="shared" si="4"/>
        <v>Over Budget</v>
      </c>
      <c r="G305" s="7" t="s">
        <v>34</v>
      </c>
    </row>
    <row r="306" spans="1:7" x14ac:dyDescent="0.25">
      <c r="A306" s="7" t="s">
        <v>7</v>
      </c>
      <c r="B306" s="7" t="s">
        <v>18</v>
      </c>
      <c r="C306" s="7" t="s">
        <v>20</v>
      </c>
      <c r="D306" s="7">
        <v>1201</v>
      </c>
      <c r="E306" s="7">
        <v>10293</v>
      </c>
      <c r="F306" s="7" t="str">
        <f t="shared" si="4"/>
        <v>Over Budget</v>
      </c>
      <c r="G306" s="7" t="s">
        <v>35</v>
      </c>
    </row>
    <row r="307" spans="1:7" x14ac:dyDescent="0.25">
      <c r="A307" s="7" t="s">
        <v>12</v>
      </c>
      <c r="B307" s="7" t="s">
        <v>19</v>
      </c>
      <c r="C307" s="7" t="s">
        <v>30</v>
      </c>
      <c r="D307" s="7">
        <v>6342</v>
      </c>
      <c r="E307" s="7">
        <v>8292</v>
      </c>
      <c r="F307" s="7" t="str">
        <f t="shared" si="4"/>
        <v>Over Budget</v>
      </c>
      <c r="G307" s="7" t="s">
        <v>34</v>
      </c>
    </row>
    <row r="308" spans="1:7" x14ac:dyDescent="0.25">
      <c r="A308" s="7" t="s">
        <v>8</v>
      </c>
      <c r="B308" s="7" t="s">
        <v>16</v>
      </c>
      <c r="C308" s="7" t="s">
        <v>28</v>
      </c>
      <c r="D308" s="7">
        <v>2290</v>
      </c>
      <c r="E308" s="7">
        <v>5281</v>
      </c>
      <c r="F308" s="7" t="str">
        <f t="shared" si="4"/>
        <v>Over Budget</v>
      </c>
      <c r="G308" s="7"/>
    </row>
    <row r="309" spans="1:7" x14ac:dyDescent="0.25">
      <c r="A309" s="7" t="s">
        <v>8</v>
      </c>
      <c r="B309" s="7" t="s">
        <v>13</v>
      </c>
      <c r="C309" s="7" t="s">
        <v>28</v>
      </c>
      <c r="D309" s="7">
        <v>2009</v>
      </c>
      <c r="E309" s="7">
        <v>2316</v>
      </c>
      <c r="F309" s="7" t="str">
        <f t="shared" si="4"/>
        <v>Over Budget</v>
      </c>
      <c r="G309" s="7" t="s">
        <v>32</v>
      </c>
    </row>
    <row r="310" spans="1:7" x14ac:dyDescent="0.25">
      <c r="A310" s="7" t="s">
        <v>6</v>
      </c>
      <c r="B310" s="7" t="s">
        <v>14</v>
      </c>
      <c r="C310" s="7" t="s">
        <v>25</v>
      </c>
      <c r="D310" s="7">
        <v>1128</v>
      </c>
      <c r="E310" s="7">
        <v>8014</v>
      </c>
      <c r="F310" s="7" t="str">
        <f t="shared" si="4"/>
        <v>Over Budget</v>
      </c>
      <c r="G310" s="7" t="s">
        <v>33</v>
      </c>
    </row>
    <row r="311" spans="1:7" x14ac:dyDescent="0.25">
      <c r="A311" s="7" t="s">
        <v>9</v>
      </c>
      <c r="B311" s="7" t="s">
        <v>19</v>
      </c>
      <c r="C311" s="7" t="s">
        <v>24</v>
      </c>
      <c r="D311" s="7">
        <v>6923</v>
      </c>
      <c r="E311" s="7">
        <v>11530</v>
      </c>
      <c r="F311" s="7" t="str">
        <f t="shared" si="4"/>
        <v>Over Budget</v>
      </c>
      <c r="G311" s="7" t="s">
        <v>33</v>
      </c>
    </row>
    <row r="312" spans="1:7" x14ac:dyDescent="0.25">
      <c r="A312" s="7" t="s">
        <v>6</v>
      </c>
      <c r="B312" s="7" t="s">
        <v>13</v>
      </c>
      <c r="C312" s="7" t="s">
        <v>23</v>
      </c>
      <c r="D312" s="7">
        <v>5022</v>
      </c>
      <c r="E312" s="7">
        <v>4266</v>
      </c>
      <c r="F312" s="7" t="str">
        <f t="shared" si="4"/>
        <v>On Budget</v>
      </c>
      <c r="G312" s="7" t="s">
        <v>35</v>
      </c>
    </row>
    <row r="313" spans="1:7" x14ac:dyDescent="0.25">
      <c r="A313" s="7" t="s">
        <v>10</v>
      </c>
      <c r="B313" s="7" t="s">
        <v>15</v>
      </c>
      <c r="C313" s="7" t="s">
        <v>23</v>
      </c>
      <c r="D313" s="7">
        <v>6466</v>
      </c>
      <c r="E313" s="7">
        <v>3570</v>
      </c>
      <c r="F313" s="7" t="str">
        <f t="shared" si="4"/>
        <v>On Budget</v>
      </c>
      <c r="G313" s="7" t="s">
        <v>33</v>
      </c>
    </row>
    <row r="314" spans="1:7" x14ac:dyDescent="0.25">
      <c r="A314" s="7" t="s">
        <v>7</v>
      </c>
      <c r="B314" s="7" t="s">
        <v>17</v>
      </c>
      <c r="C314" s="7" t="s">
        <v>29</v>
      </c>
      <c r="D314" s="7">
        <v>4810</v>
      </c>
      <c r="E314" s="7">
        <v>5459</v>
      </c>
      <c r="F314" s="7" t="str">
        <f t="shared" si="4"/>
        <v>Over Budget</v>
      </c>
      <c r="G314" s="7" t="s">
        <v>33</v>
      </c>
    </row>
    <row r="315" spans="1:7" x14ac:dyDescent="0.25">
      <c r="A315" s="7" t="s">
        <v>11</v>
      </c>
      <c r="B315" s="7" t="s">
        <v>15</v>
      </c>
      <c r="C315" s="7" t="s">
        <v>25</v>
      </c>
      <c r="D315" s="7">
        <v>7504</v>
      </c>
      <c r="E315" s="7">
        <v>1754</v>
      </c>
      <c r="F315" s="7" t="str">
        <f t="shared" si="4"/>
        <v>On Budget</v>
      </c>
      <c r="G315" s="7" t="s">
        <v>35</v>
      </c>
    </row>
    <row r="316" spans="1:7" x14ac:dyDescent="0.25">
      <c r="A316" s="7" t="s">
        <v>11</v>
      </c>
      <c r="B316" s="7" t="s">
        <v>19</v>
      </c>
      <c r="C316" s="7" t="s">
        <v>27</v>
      </c>
      <c r="D316" s="7">
        <v>5453</v>
      </c>
      <c r="E316" s="7">
        <v>10878</v>
      </c>
      <c r="F316" s="7" t="str">
        <f t="shared" si="4"/>
        <v>Over Budget</v>
      </c>
      <c r="G316" s="7" t="s">
        <v>34</v>
      </c>
    </row>
    <row r="317" spans="1:7" x14ac:dyDescent="0.25">
      <c r="A317" s="7" t="s">
        <v>10</v>
      </c>
      <c r="B317" s="7" t="s">
        <v>15</v>
      </c>
      <c r="C317" s="7" t="s">
        <v>29</v>
      </c>
      <c r="D317" s="7">
        <v>5260</v>
      </c>
      <c r="E317" s="7">
        <v>6088</v>
      </c>
      <c r="F317" s="7" t="str">
        <f t="shared" si="4"/>
        <v>Over Budget</v>
      </c>
      <c r="G317" s="7" t="s">
        <v>34</v>
      </c>
    </row>
    <row r="318" spans="1:7" x14ac:dyDescent="0.25">
      <c r="A318" s="7" t="s">
        <v>6</v>
      </c>
      <c r="B318" s="7" t="s">
        <v>13</v>
      </c>
      <c r="C318" s="7" t="s">
        <v>22</v>
      </c>
      <c r="D318" s="7">
        <v>2631</v>
      </c>
      <c r="E318" s="7">
        <v>2807</v>
      </c>
      <c r="F318" s="7" t="str">
        <f t="shared" si="4"/>
        <v>Over Budget</v>
      </c>
      <c r="G318" s="7"/>
    </row>
    <row r="319" spans="1:7" x14ac:dyDescent="0.25">
      <c r="A319" s="7" t="s">
        <v>9</v>
      </c>
      <c r="B319" s="7" t="s">
        <v>15</v>
      </c>
      <c r="C319" s="7" t="s">
        <v>24</v>
      </c>
      <c r="D319" s="7">
        <v>9503</v>
      </c>
      <c r="E319" s="7">
        <v>9241</v>
      </c>
      <c r="F319" s="7" t="str">
        <f t="shared" si="4"/>
        <v>On Budget</v>
      </c>
      <c r="G319" s="7" t="s">
        <v>35</v>
      </c>
    </row>
    <row r="320" spans="1:7" x14ac:dyDescent="0.25">
      <c r="A320" s="7" t="s">
        <v>7</v>
      </c>
      <c r="B320" s="7" t="s">
        <v>17</v>
      </c>
      <c r="C320" s="7" t="s">
        <v>20</v>
      </c>
      <c r="D320" s="7">
        <v>4136</v>
      </c>
      <c r="E320" s="7">
        <v>4621</v>
      </c>
      <c r="F320" s="7" t="str">
        <f t="shared" si="4"/>
        <v>Over Budget</v>
      </c>
      <c r="G320" s="7" t="s">
        <v>34</v>
      </c>
    </row>
    <row r="321" spans="1:7" x14ac:dyDescent="0.25">
      <c r="A321" s="7" t="s">
        <v>10</v>
      </c>
      <c r="B321" s="7" t="s">
        <v>14</v>
      </c>
      <c r="C321" s="7" t="s">
        <v>23</v>
      </c>
      <c r="D321" s="7">
        <v>2551</v>
      </c>
      <c r="E321" s="7">
        <v>1844</v>
      </c>
      <c r="F321" s="7" t="str">
        <f t="shared" si="4"/>
        <v>On Budget</v>
      </c>
      <c r="G321" s="7" t="s">
        <v>32</v>
      </c>
    </row>
    <row r="322" spans="1:7" x14ac:dyDescent="0.25">
      <c r="A322" s="7" t="s">
        <v>6</v>
      </c>
      <c r="B322" s="7" t="s">
        <v>14</v>
      </c>
      <c r="C322" s="7" t="s">
        <v>23</v>
      </c>
      <c r="D322" s="7">
        <v>8398</v>
      </c>
      <c r="E322" s="7">
        <v>5952</v>
      </c>
      <c r="F322" s="7" t="str">
        <f t="shared" si="4"/>
        <v>On Budget</v>
      </c>
      <c r="G322" s="7" t="s">
        <v>35</v>
      </c>
    </row>
    <row r="323" spans="1:7" x14ac:dyDescent="0.25">
      <c r="A323" s="7" t="s">
        <v>8</v>
      </c>
      <c r="B323" s="7" t="s">
        <v>19</v>
      </c>
      <c r="C323" s="7" t="s">
        <v>27</v>
      </c>
      <c r="D323" s="7">
        <v>2378</v>
      </c>
      <c r="E323" s="7">
        <v>6606</v>
      </c>
      <c r="F323" s="7" t="str">
        <f t="shared" ref="F323:F386" si="5">IF(E323&lt;=D323,"On Budget","Over Budget")</f>
        <v>Over Budget</v>
      </c>
      <c r="G323" s="7" t="s">
        <v>32</v>
      </c>
    </row>
    <row r="324" spans="1:7" x14ac:dyDescent="0.25">
      <c r="A324" s="7" t="s">
        <v>7</v>
      </c>
      <c r="B324" s="7" t="s">
        <v>18</v>
      </c>
      <c r="C324" s="7" t="s">
        <v>24</v>
      </c>
      <c r="D324" s="7">
        <v>6800</v>
      </c>
      <c r="E324" s="7">
        <v>3201</v>
      </c>
      <c r="F324" s="7" t="str">
        <f t="shared" si="5"/>
        <v>On Budget</v>
      </c>
      <c r="G324" s="7" t="s">
        <v>32</v>
      </c>
    </row>
    <row r="325" spans="1:7" x14ac:dyDescent="0.25">
      <c r="A325" s="7" t="s">
        <v>8</v>
      </c>
      <c r="B325" s="7" t="s">
        <v>16</v>
      </c>
      <c r="C325" s="7" t="s">
        <v>28</v>
      </c>
      <c r="D325" s="7">
        <v>6741</v>
      </c>
      <c r="E325" s="7">
        <v>9212</v>
      </c>
      <c r="F325" s="7" t="str">
        <f t="shared" si="5"/>
        <v>Over Budget</v>
      </c>
      <c r="G325" s="7" t="s">
        <v>34</v>
      </c>
    </row>
    <row r="326" spans="1:7" x14ac:dyDescent="0.25">
      <c r="A326" s="7" t="s">
        <v>10</v>
      </c>
      <c r="B326" s="7" t="s">
        <v>16</v>
      </c>
      <c r="C326" s="7" t="s">
        <v>27</v>
      </c>
      <c r="D326" s="7">
        <v>4869</v>
      </c>
      <c r="E326" s="7">
        <v>1795</v>
      </c>
      <c r="F326" s="7" t="str">
        <f t="shared" si="5"/>
        <v>On Budget</v>
      </c>
      <c r="G326" s="7" t="s">
        <v>35</v>
      </c>
    </row>
    <row r="327" spans="1:7" x14ac:dyDescent="0.25">
      <c r="A327" s="7" t="s">
        <v>12</v>
      </c>
      <c r="B327" s="7" t="s">
        <v>13</v>
      </c>
      <c r="C327" s="7" t="s">
        <v>20</v>
      </c>
      <c r="D327" s="7">
        <v>7794</v>
      </c>
      <c r="E327" s="7">
        <v>10328</v>
      </c>
      <c r="F327" s="7" t="str">
        <f t="shared" si="5"/>
        <v>Over Budget</v>
      </c>
      <c r="G327" s="7" t="s">
        <v>32</v>
      </c>
    </row>
    <row r="328" spans="1:7" x14ac:dyDescent="0.25">
      <c r="A328" s="7" t="s">
        <v>11</v>
      </c>
      <c r="B328" s="7" t="s">
        <v>14</v>
      </c>
      <c r="C328" s="7" t="s">
        <v>24</v>
      </c>
      <c r="D328" s="7">
        <v>6725</v>
      </c>
      <c r="E328" s="7">
        <v>11686</v>
      </c>
      <c r="F328" s="7" t="str">
        <f t="shared" si="5"/>
        <v>Over Budget</v>
      </c>
      <c r="G328" s="7" t="s">
        <v>32</v>
      </c>
    </row>
    <row r="329" spans="1:7" x14ac:dyDescent="0.25">
      <c r="A329" s="7" t="s">
        <v>6</v>
      </c>
      <c r="B329" s="7" t="s">
        <v>16</v>
      </c>
      <c r="C329" s="7" t="s">
        <v>24</v>
      </c>
      <c r="D329" s="7">
        <v>7253</v>
      </c>
      <c r="E329" s="7">
        <v>5984</v>
      </c>
      <c r="F329" s="7" t="str">
        <f t="shared" si="5"/>
        <v>On Budget</v>
      </c>
      <c r="G329" s="7" t="s">
        <v>32</v>
      </c>
    </row>
    <row r="330" spans="1:7" x14ac:dyDescent="0.25">
      <c r="A330" s="7" t="s">
        <v>6</v>
      </c>
      <c r="B330" s="7" t="s">
        <v>15</v>
      </c>
      <c r="C330" s="7" t="s">
        <v>20</v>
      </c>
      <c r="D330" s="7">
        <v>4402</v>
      </c>
      <c r="E330" s="7">
        <v>11794</v>
      </c>
      <c r="F330" s="7" t="str">
        <f t="shared" si="5"/>
        <v>Over Budget</v>
      </c>
      <c r="G330" s="7" t="s">
        <v>35</v>
      </c>
    </row>
    <row r="331" spans="1:7" x14ac:dyDescent="0.25">
      <c r="A331" s="7" t="s">
        <v>6</v>
      </c>
      <c r="B331" s="7" t="s">
        <v>19</v>
      </c>
      <c r="C331" s="7" t="s">
        <v>22</v>
      </c>
      <c r="D331" s="7">
        <v>5653</v>
      </c>
      <c r="E331" s="7">
        <v>11818</v>
      </c>
      <c r="F331" s="7" t="str">
        <f t="shared" si="5"/>
        <v>Over Budget</v>
      </c>
      <c r="G331" s="7" t="s">
        <v>32</v>
      </c>
    </row>
    <row r="332" spans="1:7" x14ac:dyDescent="0.25">
      <c r="A332" s="7" t="s">
        <v>6</v>
      </c>
      <c r="B332" s="7" t="s">
        <v>14</v>
      </c>
      <c r="C332" s="7" t="s">
        <v>30</v>
      </c>
      <c r="D332" s="7">
        <v>4482</v>
      </c>
      <c r="E332" s="7">
        <v>7588</v>
      </c>
      <c r="F332" s="7" t="str">
        <f t="shared" si="5"/>
        <v>Over Budget</v>
      </c>
      <c r="G332" s="7" t="s">
        <v>32</v>
      </c>
    </row>
    <row r="333" spans="1:7" x14ac:dyDescent="0.25">
      <c r="A333" s="7" t="s">
        <v>9</v>
      </c>
      <c r="B333" s="7" t="s">
        <v>16</v>
      </c>
      <c r="C333" s="7" t="s">
        <v>27</v>
      </c>
      <c r="D333" s="7">
        <v>7993</v>
      </c>
      <c r="E333" s="7">
        <v>10028</v>
      </c>
      <c r="F333" s="7" t="str">
        <f t="shared" si="5"/>
        <v>Over Budget</v>
      </c>
      <c r="G333" s="7" t="s">
        <v>32</v>
      </c>
    </row>
    <row r="334" spans="1:7" x14ac:dyDescent="0.25">
      <c r="A334" s="7" t="s">
        <v>7</v>
      </c>
      <c r="B334" s="7" t="s">
        <v>17</v>
      </c>
      <c r="C334" s="7" t="s">
        <v>26</v>
      </c>
      <c r="D334" s="7">
        <v>7143</v>
      </c>
      <c r="E334" s="7">
        <v>3972</v>
      </c>
      <c r="F334" s="7" t="str">
        <f t="shared" si="5"/>
        <v>On Budget</v>
      </c>
      <c r="G334" s="7" t="s">
        <v>32</v>
      </c>
    </row>
    <row r="335" spans="1:7" x14ac:dyDescent="0.25">
      <c r="A335" s="7" t="s">
        <v>11</v>
      </c>
      <c r="B335" s="7" t="s">
        <v>19</v>
      </c>
      <c r="C335" s="7" t="s">
        <v>22</v>
      </c>
      <c r="D335" s="7">
        <v>7206</v>
      </c>
      <c r="E335" s="7">
        <v>1799</v>
      </c>
      <c r="F335" s="7" t="str">
        <f t="shared" si="5"/>
        <v>On Budget</v>
      </c>
      <c r="G335" s="7" t="s">
        <v>34</v>
      </c>
    </row>
    <row r="336" spans="1:7" x14ac:dyDescent="0.25">
      <c r="A336" s="7" t="s">
        <v>10</v>
      </c>
      <c r="B336" s="7" t="s">
        <v>13</v>
      </c>
      <c r="C336" s="7" t="s">
        <v>20</v>
      </c>
      <c r="D336" s="7">
        <v>3716</v>
      </c>
      <c r="E336" s="7">
        <v>2980</v>
      </c>
      <c r="F336" s="7" t="str">
        <f t="shared" si="5"/>
        <v>On Budget</v>
      </c>
      <c r="G336" s="7" t="s">
        <v>32</v>
      </c>
    </row>
    <row r="337" spans="1:7" x14ac:dyDescent="0.25">
      <c r="A337" s="7" t="s">
        <v>12</v>
      </c>
      <c r="B337" s="7" t="s">
        <v>14</v>
      </c>
      <c r="C337" s="7" t="s">
        <v>30</v>
      </c>
      <c r="D337" s="7">
        <v>1505</v>
      </c>
      <c r="E337" s="7">
        <v>9345</v>
      </c>
      <c r="F337" s="7" t="str">
        <f t="shared" si="5"/>
        <v>Over Budget</v>
      </c>
      <c r="G337" s="7" t="s">
        <v>35</v>
      </c>
    </row>
    <row r="338" spans="1:7" x14ac:dyDescent="0.25">
      <c r="A338" s="7" t="s">
        <v>11</v>
      </c>
      <c r="B338" s="7" t="s">
        <v>17</v>
      </c>
      <c r="C338" s="7" t="s">
        <v>22</v>
      </c>
      <c r="D338" s="7">
        <v>9273</v>
      </c>
      <c r="E338" s="7">
        <v>8479</v>
      </c>
      <c r="F338" s="7" t="str">
        <f t="shared" si="5"/>
        <v>On Budget</v>
      </c>
      <c r="G338" s="7" t="s">
        <v>34</v>
      </c>
    </row>
    <row r="339" spans="1:7" x14ac:dyDescent="0.25">
      <c r="A339" s="7" t="s">
        <v>7</v>
      </c>
      <c r="B339" s="7" t="s">
        <v>17</v>
      </c>
      <c r="C339" s="7" t="s">
        <v>24</v>
      </c>
      <c r="D339" s="7">
        <v>4778</v>
      </c>
      <c r="E339" s="7">
        <v>4775</v>
      </c>
      <c r="F339" s="7" t="str">
        <f t="shared" si="5"/>
        <v>On Budget</v>
      </c>
      <c r="G339" s="7" t="s">
        <v>33</v>
      </c>
    </row>
    <row r="340" spans="1:7" x14ac:dyDescent="0.25">
      <c r="A340" s="7" t="s">
        <v>8</v>
      </c>
      <c r="B340" s="7" t="s">
        <v>16</v>
      </c>
      <c r="C340" s="7" t="s">
        <v>29</v>
      </c>
      <c r="D340" s="7">
        <v>7568</v>
      </c>
      <c r="E340" s="7">
        <v>10284</v>
      </c>
      <c r="F340" s="7" t="str">
        <f t="shared" si="5"/>
        <v>Over Budget</v>
      </c>
      <c r="G340" s="7" t="s">
        <v>32</v>
      </c>
    </row>
    <row r="341" spans="1:7" x14ac:dyDescent="0.25">
      <c r="A341" s="7" t="s">
        <v>11</v>
      </c>
      <c r="B341" s="7" t="s">
        <v>14</v>
      </c>
      <c r="C341" s="7" t="s">
        <v>22</v>
      </c>
      <c r="D341" s="7">
        <v>2025</v>
      </c>
      <c r="E341" s="7">
        <v>2472</v>
      </c>
      <c r="F341" s="7" t="str">
        <f t="shared" si="5"/>
        <v>Over Budget</v>
      </c>
      <c r="G341" s="7" t="s">
        <v>35</v>
      </c>
    </row>
    <row r="342" spans="1:7" x14ac:dyDescent="0.25">
      <c r="A342" s="7" t="s">
        <v>12</v>
      </c>
      <c r="B342" s="7" t="s">
        <v>19</v>
      </c>
      <c r="C342" s="7" t="s">
        <v>22</v>
      </c>
      <c r="D342" s="7">
        <v>2779</v>
      </c>
      <c r="E342" s="7">
        <v>10511</v>
      </c>
      <c r="F342" s="7" t="str">
        <f t="shared" si="5"/>
        <v>Over Budget</v>
      </c>
      <c r="G342" s="7" t="s">
        <v>33</v>
      </c>
    </row>
    <row r="343" spans="1:7" x14ac:dyDescent="0.25">
      <c r="A343" s="7" t="s">
        <v>12</v>
      </c>
      <c r="B343" s="7" t="s">
        <v>15</v>
      </c>
      <c r="C343" s="7" t="s">
        <v>27</v>
      </c>
      <c r="D343" s="7">
        <v>3275</v>
      </c>
      <c r="E343" s="7">
        <v>4780</v>
      </c>
      <c r="F343" s="7" t="str">
        <f t="shared" si="5"/>
        <v>Over Budget</v>
      </c>
      <c r="G343" s="7" t="s">
        <v>34</v>
      </c>
    </row>
    <row r="344" spans="1:7" x14ac:dyDescent="0.25">
      <c r="A344" s="7" t="s">
        <v>12</v>
      </c>
      <c r="B344" s="7" t="s">
        <v>18</v>
      </c>
      <c r="C344" s="7" t="s">
        <v>29</v>
      </c>
      <c r="D344" s="7">
        <v>8907</v>
      </c>
      <c r="E344" s="7">
        <v>9356</v>
      </c>
      <c r="F344" s="7" t="str">
        <f t="shared" si="5"/>
        <v>Over Budget</v>
      </c>
      <c r="G344" s="7" t="s">
        <v>33</v>
      </c>
    </row>
    <row r="345" spans="1:7" x14ac:dyDescent="0.25">
      <c r="A345" s="7" t="s">
        <v>8</v>
      </c>
      <c r="B345" s="7" t="s">
        <v>16</v>
      </c>
      <c r="C345" s="7" t="s">
        <v>22</v>
      </c>
      <c r="D345" s="7">
        <v>1223</v>
      </c>
      <c r="E345" s="7">
        <v>6966</v>
      </c>
      <c r="F345" s="7" t="str">
        <f t="shared" si="5"/>
        <v>Over Budget</v>
      </c>
      <c r="G345" s="7" t="s">
        <v>32</v>
      </c>
    </row>
    <row r="346" spans="1:7" x14ac:dyDescent="0.25">
      <c r="A346" s="7" t="s">
        <v>12</v>
      </c>
      <c r="B346" s="7" t="s">
        <v>19</v>
      </c>
      <c r="C346" s="7" t="s">
        <v>20</v>
      </c>
      <c r="D346" s="7">
        <v>6720</v>
      </c>
      <c r="E346" s="7">
        <v>5535</v>
      </c>
      <c r="F346" s="7" t="str">
        <f t="shared" si="5"/>
        <v>On Budget</v>
      </c>
      <c r="G346" s="7" t="s">
        <v>33</v>
      </c>
    </row>
    <row r="347" spans="1:7" x14ac:dyDescent="0.25">
      <c r="A347" s="7" t="s">
        <v>10</v>
      </c>
      <c r="B347" s="7" t="s">
        <v>13</v>
      </c>
      <c r="C347" s="7" t="s">
        <v>29</v>
      </c>
      <c r="D347" s="7">
        <v>6063</v>
      </c>
      <c r="E347" s="7">
        <v>6709</v>
      </c>
      <c r="F347" s="7" t="str">
        <f t="shared" si="5"/>
        <v>Over Budget</v>
      </c>
      <c r="G347" s="7" t="s">
        <v>34</v>
      </c>
    </row>
    <row r="348" spans="1:7" x14ac:dyDescent="0.25">
      <c r="A348" s="7" t="s">
        <v>11</v>
      </c>
      <c r="B348" s="7" t="s">
        <v>16</v>
      </c>
      <c r="C348" s="7" t="s">
        <v>23</v>
      </c>
      <c r="D348" s="7">
        <v>8814</v>
      </c>
      <c r="E348" s="7">
        <v>5517</v>
      </c>
      <c r="F348" s="7" t="str">
        <f t="shared" si="5"/>
        <v>On Budget</v>
      </c>
      <c r="G348" s="7" t="s">
        <v>35</v>
      </c>
    </row>
    <row r="349" spans="1:7" x14ac:dyDescent="0.25">
      <c r="A349" s="7" t="s">
        <v>8</v>
      </c>
      <c r="B349" s="7" t="s">
        <v>19</v>
      </c>
      <c r="C349" s="7" t="s">
        <v>24</v>
      </c>
      <c r="D349" s="7">
        <v>4954</v>
      </c>
      <c r="E349" s="7">
        <v>8547</v>
      </c>
      <c r="F349" s="7" t="str">
        <f t="shared" si="5"/>
        <v>Over Budget</v>
      </c>
      <c r="G349" s="7" t="s">
        <v>33</v>
      </c>
    </row>
    <row r="350" spans="1:7" x14ac:dyDescent="0.25">
      <c r="A350" s="7" t="s">
        <v>8</v>
      </c>
      <c r="B350" s="7" t="s">
        <v>13</v>
      </c>
      <c r="C350" s="7" t="s">
        <v>24</v>
      </c>
      <c r="D350" s="7">
        <v>6124</v>
      </c>
      <c r="E350" s="7">
        <v>3846</v>
      </c>
      <c r="F350" s="7" t="str">
        <f t="shared" si="5"/>
        <v>On Budget</v>
      </c>
      <c r="G350" s="7" t="s">
        <v>35</v>
      </c>
    </row>
    <row r="351" spans="1:7" x14ac:dyDescent="0.25">
      <c r="A351" s="7" t="s">
        <v>6</v>
      </c>
      <c r="B351" s="7" t="s">
        <v>17</v>
      </c>
      <c r="C351" s="7" t="s">
        <v>31</v>
      </c>
      <c r="D351" s="7">
        <v>7464</v>
      </c>
      <c r="E351" s="7">
        <v>3007</v>
      </c>
      <c r="F351" s="7" t="str">
        <f t="shared" si="5"/>
        <v>On Budget</v>
      </c>
      <c r="G351" s="7" t="s">
        <v>34</v>
      </c>
    </row>
    <row r="352" spans="1:7" x14ac:dyDescent="0.25">
      <c r="A352" s="7" t="s">
        <v>8</v>
      </c>
      <c r="B352" s="7" t="s">
        <v>16</v>
      </c>
      <c r="C352" s="7" t="s">
        <v>24</v>
      </c>
      <c r="D352" s="7">
        <v>1530</v>
      </c>
      <c r="E352" s="7">
        <v>1888</v>
      </c>
      <c r="F352" s="7" t="str">
        <f t="shared" si="5"/>
        <v>Over Budget</v>
      </c>
      <c r="G352" s="7" t="s">
        <v>35</v>
      </c>
    </row>
    <row r="353" spans="1:7" x14ac:dyDescent="0.25">
      <c r="A353" s="7" t="s">
        <v>8</v>
      </c>
      <c r="B353" s="7" t="s">
        <v>14</v>
      </c>
      <c r="C353" s="7" t="s">
        <v>27</v>
      </c>
      <c r="D353" s="7">
        <v>5043</v>
      </c>
      <c r="E353" s="7">
        <v>6765</v>
      </c>
      <c r="F353" s="7" t="str">
        <f t="shared" si="5"/>
        <v>Over Budget</v>
      </c>
      <c r="G353" s="7" t="s">
        <v>34</v>
      </c>
    </row>
    <row r="354" spans="1:7" x14ac:dyDescent="0.25">
      <c r="A354" s="7" t="s">
        <v>12</v>
      </c>
      <c r="B354" s="7" t="s">
        <v>18</v>
      </c>
      <c r="C354" s="7" t="s">
        <v>30</v>
      </c>
      <c r="D354" s="7">
        <v>5212</v>
      </c>
      <c r="E354" s="7">
        <v>886</v>
      </c>
      <c r="F354" s="7" t="str">
        <f t="shared" si="5"/>
        <v>On Budget</v>
      </c>
      <c r="G354" s="7" t="s">
        <v>32</v>
      </c>
    </row>
    <row r="355" spans="1:7" x14ac:dyDescent="0.25">
      <c r="A355" s="7" t="s">
        <v>11</v>
      </c>
      <c r="B355" s="7" t="s">
        <v>19</v>
      </c>
      <c r="C355" s="7" t="s">
        <v>29</v>
      </c>
      <c r="D355" s="7">
        <v>5263</v>
      </c>
      <c r="E355" s="7">
        <v>10592</v>
      </c>
      <c r="F355" s="7" t="str">
        <f t="shared" si="5"/>
        <v>Over Budget</v>
      </c>
      <c r="G355" s="7" t="s">
        <v>35</v>
      </c>
    </row>
    <row r="356" spans="1:7" x14ac:dyDescent="0.25">
      <c r="A356" s="7" t="s">
        <v>6</v>
      </c>
      <c r="B356" s="7" t="s">
        <v>15</v>
      </c>
      <c r="C356" s="7" t="s">
        <v>30</v>
      </c>
      <c r="D356" s="7">
        <v>2761</v>
      </c>
      <c r="E356" s="7">
        <v>11721</v>
      </c>
      <c r="F356" s="7" t="str">
        <f t="shared" si="5"/>
        <v>Over Budget</v>
      </c>
      <c r="G356" s="7" t="s">
        <v>35</v>
      </c>
    </row>
    <row r="357" spans="1:7" x14ac:dyDescent="0.25">
      <c r="A357" s="7" t="s">
        <v>8</v>
      </c>
      <c r="B357" s="7" t="s">
        <v>13</v>
      </c>
      <c r="C357" s="7" t="s">
        <v>26</v>
      </c>
      <c r="D357" s="7">
        <v>9834</v>
      </c>
      <c r="E357" s="7">
        <v>7574</v>
      </c>
      <c r="F357" s="7" t="str">
        <f t="shared" si="5"/>
        <v>On Budget</v>
      </c>
      <c r="G357" s="7"/>
    </row>
    <row r="358" spans="1:7" x14ac:dyDescent="0.25">
      <c r="A358" s="7" t="s">
        <v>10</v>
      </c>
      <c r="B358" s="7" t="s">
        <v>15</v>
      </c>
      <c r="C358" s="7" t="s">
        <v>28</v>
      </c>
      <c r="D358" s="7">
        <v>5131</v>
      </c>
      <c r="E358" s="7">
        <v>1962</v>
      </c>
      <c r="F358" s="7" t="str">
        <f t="shared" si="5"/>
        <v>On Budget</v>
      </c>
      <c r="G358" s="7" t="s">
        <v>35</v>
      </c>
    </row>
    <row r="359" spans="1:7" x14ac:dyDescent="0.25">
      <c r="A359" s="7" t="s">
        <v>12</v>
      </c>
      <c r="B359" s="7" t="s">
        <v>19</v>
      </c>
      <c r="C359" s="7" t="s">
        <v>21</v>
      </c>
      <c r="D359" s="7">
        <v>8699</v>
      </c>
      <c r="E359" s="7">
        <v>4309</v>
      </c>
      <c r="F359" s="7" t="str">
        <f t="shared" si="5"/>
        <v>On Budget</v>
      </c>
      <c r="G359" s="7" t="s">
        <v>35</v>
      </c>
    </row>
    <row r="360" spans="1:7" x14ac:dyDescent="0.25">
      <c r="A360" s="7" t="s">
        <v>9</v>
      </c>
      <c r="B360" s="7" t="s">
        <v>13</v>
      </c>
      <c r="C360" s="7" t="s">
        <v>30</v>
      </c>
      <c r="D360" s="7">
        <v>6761</v>
      </c>
      <c r="E360" s="7">
        <v>10879</v>
      </c>
      <c r="F360" s="7" t="str">
        <f t="shared" si="5"/>
        <v>Over Budget</v>
      </c>
      <c r="G360" s="7" t="s">
        <v>33</v>
      </c>
    </row>
    <row r="361" spans="1:7" x14ac:dyDescent="0.25">
      <c r="A361" s="7" t="s">
        <v>9</v>
      </c>
      <c r="B361" s="7" t="s">
        <v>14</v>
      </c>
      <c r="C361" s="7" t="s">
        <v>23</v>
      </c>
      <c r="D361" s="7">
        <v>6598</v>
      </c>
      <c r="E361" s="7">
        <v>1004</v>
      </c>
      <c r="F361" s="7" t="str">
        <f t="shared" si="5"/>
        <v>On Budget</v>
      </c>
      <c r="G361" s="7" t="s">
        <v>34</v>
      </c>
    </row>
    <row r="362" spans="1:7" x14ac:dyDescent="0.25">
      <c r="A362" s="7" t="s">
        <v>10</v>
      </c>
      <c r="B362" s="7" t="s">
        <v>17</v>
      </c>
      <c r="C362" s="7" t="s">
        <v>24</v>
      </c>
      <c r="D362" s="7">
        <v>9414</v>
      </c>
      <c r="E362" s="7">
        <v>10157</v>
      </c>
      <c r="F362" s="7" t="str">
        <f t="shared" si="5"/>
        <v>Over Budget</v>
      </c>
      <c r="G362" s="7" t="s">
        <v>33</v>
      </c>
    </row>
    <row r="363" spans="1:7" x14ac:dyDescent="0.25">
      <c r="A363" s="7" t="s">
        <v>8</v>
      </c>
      <c r="B363" s="7" t="s">
        <v>13</v>
      </c>
      <c r="C363" s="7" t="s">
        <v>26</v>
      </c>
      <c r="D363" s="7">
        <v>6959</v>
      </c>
      <c r="E363" s="7">
        <v>7117</v>
      </c>
      <c r="F363" s="7" t="str">
        <f t="shared" si="5"/>
        <v>Over Budget</v>
      </c>
      <c r="G363" s="7" t="s">
        <v>32</v>
      </c>
    </row>
    <row r="364" spans="1:7" x14ac:dyDescent="0.25">
      <c r="A364" s="7" t="s">
        <v>6</v>
      </c>
      <c r="B364" s="7" t="s">
        <v>17</v>
      </c>
      <c r="C364" s="7" t="s">
        <v>28</v>
      </c>
      <c r="D364" s="7">
        <v>5843</v>
      </c>
      <c r="E364" s="7">
        <v>2609</v>
      </c>
      <c r="F364" s="7" t="str">
        <f t="shared" si="5"/>
        <v>On Budget</v>
      </c>
      <c r="G364" s="7" t="s">
        <v>34</v>
      </c>
    </row>
    <row r="365" spans="1:7" x14ac:dyDescent="0.25">
      <c r="A365" s="7" t="s">
        <v>12</v>
      </c>
      <c r="B365" s="7" t="s">
        <v>17</v>
      </c>
      <c r="C365" s="7" t="s">
        <v>24</v>
      </c>
      <c r="D365" s="7">
        <v>9347</v>
      </c>
      <c r="E365" s="7">
        <v>2852</v>
      </c>
      <c r="F365" s="7" t="str">
        <f t="shared" si="5"/>
        <v>On Budget</v>
      </c>
      <c r="G365" s="7" t="s">
        <v>33</v>
      </c>
    </row>
    <row r="366" spans="1:7" x14ac:dyDescent="0.25">
      <c r="A366" s="7" t="s">
        <v>10</v>
      </c>
      <c r="B366" s="7" t="s">
        <v>19</v>
      </c>
      <c r="C366" s="7" t="s">
        <v>20</v>
      </c>
      <c r="D366" s="7">
        <v>1986</v>
      </c>
      <c r="E366" s="7">
        <v>5673</v>
      </c>
      <c r="F366" s="7" t="str">
        <f t="shared" si="5"/>
        <v>Over Budget</v>
      </c>
      <c r="G366" s="7" t="s">
        <v>35</v>
      </c>
    </row>
    <row r="367" spans="1:7" x14ac:dyDescent="0.25">
      <c r="A367" s="7" t="s">
        <v>12</v>
      </c>
      <c r="B367" s="7" t="s">
        <v>19</v>
      </c>
      <c r="C367" s="7" t="s">
        <v>20</v>
      </c>
      <c r="D367" s="7">
        <v>9305</v>
      </c>
      <c r="E367" s="7">
        <v>8197</v>
      </c>
      <c r="F367" s="7" t="str">
        <f t="shared" si="5"/>
        <v>On Budget</v>
      </c>
      <c r="G367" s="7" t="s">
        <v>33</v>
      </c>
    </row>
    <row r="368" spans="1:7" x14ac:dyDescent="0.25">
      <c r="A368" s="7" t="s">
        <v>7</v>
      </c>
      <c r="B368" s="7" t="s">
        <v>16</v>
      </c>
      <c r="C368" s="7" t="s">
        <v>24</v>
      </c>
      <c r="D368" s="7">
        <v>3396</v>
      </c>
      <c r="E368" s="7">
        <v>9280</v>
      </c>
      <c r="F368" s="7" t="str">
        <f t="shared" si="5"/>
        <v>Over Budget</v>
      </c>
      <c r="G368" s="7" t="s">
        <v>33</v>
      </c>
    </row>
    <row r="369" spans="1:7" x14ac:dyDescent="0.25">
      <c r="A369" s="7" t="s">
        <v>6</v>
      </c>
      <c r="B369" s="7" t="s">
        <v>17</v>
      </c>
      <c r="C369" s="7" t="s">
        <v>31</v>
      </c>
      <c r="D369" s="7">
        <v>8334</v>
      </c>
      <c r="E369" s="7">
        <v>1976</v>
      </c>
      <c r="F369" s="7" t="str">
        <f t="shared" si="5"/>
        <v>On Budget</v>
      </c>
      <c r="G369" s="7" t="s">
        <v>33</v>
      </c>
    </row>
    <row r="370" spans="1:7" x14ac:dyDescent="0.25">
      <c r="A370" s="7" t="s">
        <v>8</v>
      </c>
      <c r="B370" s="7" t="s">
        <v>17</v>
      </c>
      <c r="C370" s="7" t="s">
        <v>20</v>
      </c>
      <c r="D370" s="7">
        <v>6860</v>
      </c>
      <c r="E370" s="7">
        <v>1653</v>
      </c>
      <c r="F370" s="7" t="str">
        <f t="shared" si="5"/>
        <v>On Budget</v>
      </c>
      <c r="G370" s="7" t="s">
        <v>33</v>
      </c>
    </row>
    <row r="371" spans="1:7" x14ac:dyDescent="0.25">
      <c r="A371" s="7" t="s">
        <v>8</v>
      </c>
      <c r="B371" s="7" t="s">
        <v>15</v>
      </c>
      <c r="C371" s="7" t="s">
        <v>22</v>
      </c>
      <c r="D371" s="7">
        <v>1074</v>
      </c>
      <c r="E371" s="7">
        <v>9933</v>
      </c>
      <c r="F371" s="7" t="str">
        <f t="shared" si="5"/>
        <v>Over Budget</v>
      </c>
      <c r="G371" s="7" t="s">
        <v>34</v>
      </c>
    </row>
    <row r="372" spans="1:7" x14ac:dyDescent="0.25">
      <c r="A372" s="7" t="s">
        <v>8</v>
      </c>
      <c r="B372" s="7" t="s">
        <v>18</v>
      </c>
      <c r="C372" s="7" t="s">
        <v>29</v>
      </c>
      <c r="D372" s="7">
        <v>9798</v>
      </c>
      <c r="E372" s="7">
        <v>5795</v>
      </c>
      <c r="F372" s="7" t="str">
        <f t="shared" si="5"/>
        <v>On Budget</v>
      </c>
      <c r="G372" s="7"/>
    </row>
    <row r="373" spans="1:7" x14ac:dyDescent="0.25">
      <c r="A373" s="7" t="s">
        <v>11</v>
      </c>
      <c r="B373" s="7" t="s">
        <v>14</v>
      </c>
      <c r="C373" s="7" t="s">
        <v>29</v>
      </c>
      <c r="D373" s="7">
        <v>2247</v>
      </c>
      <c r="E373" s="7">
        <v>1405</v>
      </c>
      <c r="F373" s="7" t="str">
        <f t="shared" si="5"/>
        <v>On Budget</v>
      </c>
      <c r="G373" s="7" t="s">
        <v>34</v>
      </c>
    </row>
    <row r="374" spans="1:7" x14ac:dyDescent="0.25">
      <c r="A374" s="7" t="s">
        <v>12</v>
      </c>
      <c r="B374" s="7" t="s">
        <v>17</v>
      </c>
      <c r="C374" s="7" t="s">
        <v>23</v>
      </c>
      <c r="D374" s="7">
        <v>7041</v>
      </c>
      <c r="E374" s="7">
        <v>11306</v>
      </c>
      <c r="F374" s="7" t="str">
        <f t="shared" si="5"/>
        <v>Over Budget</v>
      </c>
      <c r="G374" s="7" t="s">
        <v>32</v>
      </c>
    </row>
    <row r="375" spans="1:7" x14ac:dyDescent="0.25">
      <c r="A375" s="7" t="s">
        <v>8</v>
      </c>
      <c r="B375" s="7" t="s">
        <v>19</v>
      </c>
      <c r="C375" s="7" t="s">
        <v>22</v>
      </c>
      <c r="D375" s="7">
        <v>4141</v>
      </c>
      <c r="E375" s="7">
        <v>4841</v>
      </c>
      <c r="F375" s="7" t="str">
        <f t="shared" si="5"/>
        <v>Over Budget</v>
      </c>
      <c r="G375" s="7" t="s">
        <v>35</v>
      </c>
    </row>
    <row r="376" spans="1:7" x14ac:dyDescent="0.25">
      <c r="A376" s="7" t="s">
        <v>7</v>
      </c>
      <c r="B376" s="7" t="s">
        <v>18</v>
      </c>
      <c r="C376" s="7" t="s">
        <v>29</v>
      </c>
      <c r="D376" s="7">
        <v>5574</v>
      </c>
      <c r="E376" s="7">
        <v>3718</v>
      </c>
      <c r="F376" s="7" t="str">
        <f t="shared" si="5"/>
        <v>On Budget</v>
      </c>
      <c r="G376" s="7"/>
    </row>
    <row r="377" spans="1:7" x14ac:dyDescent="0.25">
      <c r="A377" s="7" t="s">
        <v>8</v>
      </c>
      <c r="B377" s="7" t="s">
        <v>17</v>
      </c>
      <c r="C377" s="7" t="s">
        <v>29</v>
      </c>
      <c r="D377" s="7">
        <v>4501</v>
      </c>
      <c r="E377" s="7">
        <v>7447</v>
      </c>
      <c r="F377" s="7" t="str">
        <f t="shared" si="5"/>
        <v>Over Budget</v>
      </c>
      <c r="G377" s="7" t="s">
        <v>33</v>
      </c>
    </row>
    <row r="378" spans="1:7" x14ac:dyDescent="0.25">
      <c r="A378" s="7" t="s">
        <v>7</v>
      </c>
      <c r="B378" s="7" t="s">
        <v>17</v>
      </c>
      <c r="C378" s="7" t="s">
        <v>24</v>
      </c>
      <c r="D378" s="7">
        <v>7364</v>
      </c>
      <c r="E378" s="7">
        <v>2439</v>
      </c>
      <c r="F378" s="7" t="str">
        <f t="shared" si="5"/>
        <v>On Budget</v>
      </c>
      <c r="G378" s="7"/>
    </row>
    <row r="379" spans="1:7" x14ac:dyDescent="0.25">
      <c r="A379" s="7" t="s">
        <v>9</v>
      </c>
      <c r="B379" s="7" t="s">
        <v>17</v>
      </c>
      <c r="C379" s="7" t="s">
        <v>28</v>
      </c>
      <c r="D379" s="7">
        <v>4512</v>
      </c>
      <c r="E379" s="7">
        <v>11544</v>
      </c>
      <c r="F379" s="7" t="str">
        <f t="shared" si="5"/>
        <v>Over Budget</v>
      </c>
      <c r="G379" s="7"/>
    </row>
    <row r="380" spans="1:7" x14ac:dyDescent="0.25">
      <c r="A380" s="7" t="s">
        <v>6</v>
      </c>
      <c r="B380" s="7" t="s">
        <v>14</v>
      </c>
      <c r="C380" s="7" t="s">
        <v>24</v>
      </c>
      <c r="D380" s="7">
        <v>4578</v>
      </c>
      <c r="E380" s="7">
        <v>7320</v>
      </c>
      <c r="F380" s="7" t="str">
        <f t="shared" si="5"/>
        <v>Over Budget</v>
      </c>
      <c r="G380" s="7" t="s">
        <v>32</v>
      </c>
    </row>
    <row r="381" spans="1:7" x14ac:dyDescent="0.25">
      <c r="A381" s="7" t="s">
        <v>10</v>
      </c>
      <c r="B381" s="7" t="s">
        <v>17</v>
      </c>
      <c r="C381" s="7" t="s">
        <v>25</v>
      </c>
      <c r="D381" s="7">
        <v>8709</v>
      </c>
      <c r="E381" s="7">
        <v>8113</v>
      </c>
      <c r="F381" s="7" t="str">
        <f t="shared" si="5"/>
        <v>On Budget</v>
      </c>
      <c r="G381" s="7"/>
    </row>
    <row r="382" spans="1:7" x14ac:dyDescent="0.25">
      <c r="A382" s="7" t="s">
        <v>9</v>
      </c>
      <c r="B382" s="7" t="s">
        <v>15</v>
      </c>
      <c r="C382" s="7" t="s">
        <v>21</v>
      </c>
      <c r="D382" s="7">
        <v>3364</v>
      </c>
      <c r="E382" s="7">
        <v>9264</v>
      </c>
      <c r="F382" s="7" t="str">
        <f t="shared" si="5"/>
        <v>Over Budget</v>
      </c>
      <c r="G382" s="7" t="s">
        <v>34</v>
      </c>
    </row>
    <row r="383" spans="1:7" x14ac:dyDescent="0.25">
      <c r="A383" s="7" t="s">
        <v>12</v>
      </c>
      <c r="B383" s="7" t="s">
        <v>19</v>
      </c>
      <c r="C383" s="7" t="s">
        <v>28</v>
      </c>
      <c r="D383" s="7">
        <v>2367</v>
      </c>
      <c r="E383" s="7">
        <v>5740</v>
      </c>
      <c r="F383" s="7" t="str">
        <f t="shared" si="5"/>
        <v>Over Budget</v>
      </c>
      <c r="G383" s="7" t="s">
        <v>33</v>
      </c>
    </row>
    <row r="384" spans="1:7" x14ac:dyDescent="0.25">
      <c r="A384" s="7" t="s">
        <v>8</v>
      </c>
      <c r="B384" s="7" t="s">
        <v>18</v>
      </c>
      <c r="C384" s="7" t="s">
        <v>28</v>
      </c>
      <c r="D384" s="7">
        <v>3071</v>
      </c>
      <c r="E384" s="7">
        <v>1281</v>
      </c>
      <c r="F384" s="7" t="str">
        <f t="shared" si="5"/>
        <v>On Budget</v>
      </c>
      <c r="G384" s="7" t="s">
        <v>35</v>
      </c>
    </row>
    <row r="385" spans="1:7" x14ac:dyDescent="0.25">
      <c r="A385" s="7" t="s">
        <v>6</v>
      </c>
      <c r="B385" s="7" t="s">
        <v>14</v>
      </c>
      <c r="C385" s="7" t="s">
        <v>24</v>
      </c>
      <c r="D385" s="7">
        <v>4497</v>
      </c>
      <c r="E385" s="7">
        <v>4909</v>
      </c>
      <c r="F385" s="7" t="str">
        <f t="shared" si="5"/>
        <v>Over Budget</v>
      </c>
      <c r="G385" s="7"/>
    </row>
    <row r="386" spans="1:7" x14ac:dyDescent="0.25">
      <c r="A386" s="7" t="s">
        <v>10</v>
      </c>
      <c r="B386" s="7" t="s">
        <v>18</v>
      </c>
      <c r="C386" s="7" t="s">
        <v>21</v>
      </c>
      <c r="D386" s="7">
        <v>1322</v>
      </c>
      <c r="E386" s="7">
        <v>6535</v>
      </c>
      <c r="F386" s="7" t="str">
        <f t="shared" si="5"/>
        <v>Over Budget</v>
      </c>
      <c r="G386" s="7" t="s">
        <v>35</v>
      </c>
    </row>
    <row r="387" spans="1:7" x14ac:dyDescent="0.25">
      <c r="A387" s="7" t="s">
        <v>6</v>
      </c>
      <c r="B387" s="7" t="s">
        <v>18</v>
      </c>
      <c r="C387" s="7" t="s">
        <v>24</v>
      </c>
      <c r="D387" s="7">
        <v>4410</v>
      </c>
      <c r="E387" s="7">
        <v>4320</v>
      </c>
      <c r="F387" s="7" t="str">
        <f t="shared" ref="F387:F450" si="6">IF(E387&lt;=D387,"On Budget","Over Budget")</f>
        <v>On Budget</v>
      </c>
      <c r="G387" s="7"/>
    </row>
    <row r="388" spans="1:7" x14ac:dyDescent="0.25">
      <c r="A388" s="7" t="s">
        <v>7</v>
      </c>
      <c r="B388" s="7" t="s">
        <v>13</v>
      </c>
      <c r="C388" s="7" t="s">
        <v>28</v>
      </c>
      <c r="D388" s="7">
        <v>6712</v>
      </c>
      <c r="E388" s="7">
        <v>5878</v>
      </c>
      <c r="F388" s="7" t="str">
        <f t="shared" si="6"/>
        <v>On Budget</v>
      </c>
      <c r="G388" s="7"/>
    </row>
    <row r="389" spans="1:7" x14ac:dyDescent="0.25">
      <c r="A389" s="7" t="s">
        <v>12</v>
      </c>
      <c r="B389" s="7" t="s">
        <v>17</v>
      </c>
      <c r="C389" s="7" t="s">
        <v>23</v>
      </c>
      <c r="D389" s="7">
        <v>8485</v>
      </c>
      <c r="E389" s="7">
        <v>1677</v>
      </c>
      <c r="F389" s="7" t="str">
        <f t="shared" si="6"/>
        <v>On Budget</v>
      </c>
      <c r="G389" s="7" t="s">
        <v>35</v>
      </c>
    </row>
    <row r="390" spans="1:7" x14ac:dyDescent="0.25">
      <c r="A390" s="7" t="s">
        <v>11</v>
      </c>
      <c r="B390" s="7" t="s">
        <v>18</v>
      </c>
      <c r="C390" s="7" t="s">
        <v>29</v>
      </c>
      <c r="D390" s="7">
        <v>7732</v>
      </c>
      <c r="E390" s="7">
        <v>2764</v>
      </c>
      <c r="F390" s="7" t="str">
        <f t="shared" si="6"/>
        <v>On Budget</v>
      </c>
      <c r="G390" s="7" t="s">
        <v>34</v>
      </c>
    </row>
    <row r="391" spans="1:7" x14ac:dyDescent="0.25">
      <c r="A391" s="7" t="s">
        <v>9</v>
      </c>
      <c r="B391" s="7" t="s">
        <v>13</v>
      </c>
      <c r="C391" s="7" t="s">
        <v>25</v>
      </c>
      <c r="D391" s="7">
        <v>3159</v>
      </c>
      <c r="E391" s="7">
        <v>10256</v>
      </c>
      <c r="F391" s="7" t="str">
        <f t="shared" si="6"/>
        <v>Over Budget</v>
      </c>
      <c r="G391" s="7" t="s">
        <v>35</v>
      </c>
    </row>
    <row r="392" spans="1:7" x14ac:dyDescent="0.25">
      <c r="A392" s="7" t="s">
        <v>9</v>
      </c>
      <c r="B392" s="7" t="s">
        <v>13</v>
      </c>
      <c r="C392" s="7" t="s">
        <v>29</v>
      </c>
      <c r="D392" s="7">
        <v>4336</v>
      </c>
      <c r="E392" s="7">
        <v>10618</v>
      </c>
      <c r="F392" s="7" t="str">
        <f t="shared" si="6"/>
        <v>Over Budget</v>
      </c>
      <c r="G392" s="7"/>
    </row>
    <row r="393" spans="1:7" x14ac:dyDescent="0.25">
      <c r="A393" s="7" t="s">
        <v>6</v>
      </c>
      <c r="B393" s="7" t="s">
        <v>15</v>
      </c>
      <c r="C393" s="7" t="s">
        <v>29</v>
      </c>
      <c r="D393" s="7">
        <v>3184</v>
      </c>
      <c r="E393" s="7">
        <v>7835</v>
      </c>
      <c r="F393" s="7" t="str">
        <f t="shared" si="6"/>
        <v>Over Budget</v>
      </c>
      <c r="G393" s="7" t="s">
        <v>33</v>
      </c>
    </row>
    <row r="394" spans="1:7" x14ac:dyDescent="0.25">
      <c r="A394" s="7" t="s">
        <v>10</v>
      </c>
      <c r="B394" s="7" t="s">
        <v>17</v>
      </c>
      <c r="C394" s="7" t="s">
        <v>23</v>
      </c>
      <c r="D394" s="7">
        <v>4494</v>
      </c>
      <c r="E394" s="7">
        <v>6591</v>
      </c>
      <c r="F394" s="7" t="str">
        <f t="shared" si="6"/>
        <v>Over Budget</v>
      </c>
      <c r="G394" s="7" t="s">
        <v>32</v>
      </c>
    </row>
    <row r="395" spans="1:7" x14ac:dyDescent="0.25">
      <c r="A395" s="7" t="s">
        <v>12</v>
      </c>
      <c r="B395" s="7" t="s">
        <v>16</v>
      </c>
      <c r="C395" s="7" t="s">
        <v>22</v>
      </c>
      <c r="D395" s="7">
        <v>8721</v>
      </c>
      <c r="E395" s="7">
        <v>10508</v>
      </c>
      <c r="F395" s="7" t="str">
        <f t="shared" si="6"/>
        <v>Over Budget</v>
      </c>
      <c r="G395" s="7" t="s">
        <v>33</v>
      </c>
    </row>
    <row r="396" spans="1:7" x14ac:dyDescent="0.25">
      <c r="A396" s="7" t="s">
        <v>9</v>
      </c>
      <c r="B396" s="7" t="s">
        <v>16</v>
      </c>
      <c r="C396" s="7" t="s">
        <v>30</v>
      </c>
      <c r="D396" s="7">
        <v>9237</v>
      </c>
      <c r="E396" s="7">
        <v>4112</v>
      </c>
      <c r="F396" s="7" t="str">
        <f t="shared" si="6"/>
        <v>On Budget</v>
      </c>
      <c r="G396" s="7" t="s">
        <v>35</v>
      </c>
    </row>
    <row r="397" spans="1:7" x14ac:dyDescent="0.25">
      <c r="A397" s="7" t="s">
        <v>12</v>
      </c>
      <c r="B397" s="7" t="s">
        <v>16</v>
      </c>
      <c r="C397" s="7" t="s">
        <v>21</v>
      </c>
      <c r="D397" s="7">
        <v>4808</v>
      </c>
      <c r="E397" s="7">
        <v>11555</v>
      </c>
      <c r="F397" s="7" t="str">
        <f t="shared" si="6"/>
        <v>Over Budget</v>
      </c>
      <c r="G397" s="7" t="s">
        <v>35</v>
      </c>
    </row>
    <row r="398" spans="1:7" x14ac:dyDescent="0.25">
      <c r="A398" s="7" t="s">
        <v>12</v>
      </c>
      <c r="B398" s="7" t="s">
        <v>14</v>
      </c>
      <c r="C398" s="7" t="s">
        <v>21</v>
      </c>
      <c r="D398" s="7">
        <v>9600</v>
      </c>
      <c r="E398" s="7">
        <v>8404</v>
      </c>
      <c r="F398" s="7" t="str">
        <f t="shared" si="6"/>
        <v>On Budget</v>
      </c>
      <c r="G398" s="7" t="s">
        <v>34</v>
      </c>
    </row>
    <row r="399" spans="1:7" x14ac:dyDescent="0.25">
      <c r="A399" s="7" t="s">
        <v>12</v>
      </c>
      <c r="B399" s="7" t="s">
        <v>18</v>
      </c>
      <c r="C399" s="7" t="s">
        <v>22</v>
      </c>
      <c r="D399" s="7">
        <v>8701</v>
      </c>
      <c r="E399" s="7">
        <v>3244</v>
      </c>
      <c r="F399" s="7" t="str">
        <f t="shared" si="6"/>
        <v>On Budget</v>
      </c>
      <c r="G399" s="7" t="s">
        <v>34</v>
      </c>
    </row>
    <row r="400" spans="1:7" x14ac:dyDescent="0.25">
      <c r="A400" s="7" t="s">
        <v>8</v>
      </c>
      <c r="B400" s="7" t="s">
        <v>16</v>
      </c>
      <c r="C400" s="7" t="s">
        <v>28</v>
      </c>
      <c r="D400" s="7">
        <v>1394</v>
      </c>
      <c r="E400" s="7">
        <v>10215</v>
      </c>
      <c r="F400" s="7" t="str">
        <f t="shared" si="6"/>
        <v>Over Budget</v>
      </c>
      <c r="G400" s="7" t="s">
        <v>33</v>
      </c>
    </row>
    <row r="401" spans="1:7" x14ac:dyDescent="0.25">
      <c r="A401" s="7" t="s">
        <v>9</v>
      </c>
      <c r="B401" s="7" t="s">
        <v>18</v>
      </c>
      <c r="C401" s="7" t="s">
        <v>21</v>
      </c>
      <c r="D401" s="7">
        <v>1146</v>
      </c>
      <c r="E401" s="7">
        <v>6958</v>
      </c>
      <c r="F401" s="7" t="str">
        <f t="shared" si="6"/>
        <v>Over Budget</v>
      </c>
      <c r="G401" s="7" t="s">
        <v>33</v>
      </c>
    </row>
    <row r="402" spans="1:7" x14ac:dyDescent="0.25">
      <c r="A402" s="7" t="s">
        <v>8</v>
      </c>
      <c r="B402" s="7" t="s">
        <v>17</v>
      </c>
      <c r="C402" s="7" t="s">
        <v>22</v>
      </c>
      <c r="D402" s="7">
        <v>3150</v>
      </c>
      <c r="E402" s="7">
        <v>10703</v>
      </c>
      <c r="F402" s="7" t="str">
        <f t="shared" si="6"/>
        <v>Over Budget</v>
      </c>
      <c r="G402" s="7" t="s">
        <v>33</v>
      </c>
    </row>
    <row r="403" spans="1:7" x14ac:dyDescent="0.25">
      <c r="A403" s="7" t="s">
        <v>12</v>
      </c>
      <c r="B403" s="7" t="s">
        <v>19</v>
      </c>
      <c r="C403" s="7" t="s">
        <v>25</v>
      </c>
      <c r="D403" s="7">
        <v>1765</v>
      </c>
      <c r="E403" s="7">
        <v>10599</v>
      </c>
      <c r="F403" s="7" t="str">
        <f t="shared" si="6"/>
        <v>Over Budget</v>
      </c>
      <c r="G403" s="7"/>
    </row>
    <row r="404" spans="1:7" x14ac:dyDescent="0.25">
      <c r="A404" s="7" t="s">
        <v>11</v>
      </c>
      <c r="B404" s="7" t="s">
        <v>13</v>
      </c>
      <c r="C404" s="7" t="s">
        <v>22</v>
      </c>
      <c r="D404" s="7">
        <v>3131</v>
      </c>
      <c r="E404" s="7">
        <v>3321</v>
      </c>
      <c r="F404" s="7" t="str">
        <f t="shared" si="6"/>
        <v>Over Budget</v>
      </c>
      <c r="G404" s="7" t="s">
        <v>33</v>
      </c>
    </row>
    <row r="405" spans="1:7" x14ac:dyDescent="0.25">
      <c r="A405" s="7" t="s">
        <v>9</v>
      </c>
      <c r="B405" s="7" t="s">
        <v>13</v>
      </c>
      <c r="C405" s="7" t="s">
        <v>28</v>
      </c>
      <c r="D405" s="7">
        <v>6008</v>
      </c>
      <c r="E405" s="7">
        <v>5421</v>
      </c>
      <c r="F405" s="7" t="str">
        <f t="shared" si="6"/>
        <v>On Budget</v>
      </c>
      <c r="G405" s="7" t="s">
        <v>34</v>
      </c>
    </row>
    <row r="406" spans="1:7" x14ac:dyDescent="0.25">
      <c r="A406" s="7" t="s">
        <v>8</v>
      </c>
      <c r="B406" s="7" t="s">
        <v>17</v>
      </c>
      <c r="C406" s="7" t="s">
        <v>21</v>
      </c>
      <c r="D406" s="7">
        <v>8732</v>
      </c>
      <c r="E406" s="7">
        <v>2976</v>
      </c>
      <c r="F406" s="7" t="str">
        <f t="shared" si="6"/>
        <v>On Budget</v>
      </c>
      <c r="G406" s="7"/>
    </row>
    <row r="407" spans="1:7" x14ac:dyDescent="0.25">
      <c r="A407" s="7" t="s">
        <v>7</v>
      </c>
      <c r="B407" s="7" t="s">
        <v>18</v>
      </c>
      <c r="C407" s="7" t="s">
        <v>24</v>
      </c>
      <c r="D407" s="7">
        <v>1593</v>
      </c>
      <c r="E407" s="7">
        <v>7292</v>
      </c>
      <c r="F407" s="7" t="str">
        <f t="shared" si="6"/>
        <v>Over Budget</v>
      </c>
      <c r="G407" s="7" t="s">
        <v>34</v>
      </c>
    </row>
    <row r="408" spans="1:7" x14ac:dyDescent="0.25">
      <c r="A408" s="7" t="s">
        <v>7</v>
      </c>
      <c r="B408" s="7" t="s">
        <v>14</v>
      </c>
      <c r="C408" s="7" t="s">
        <v>27</v>
      </c>
      <c r="D408" s="7">
        <v>1834</v>
      </c>
      <c r="E408" s="7">
        <v>8696</v>
      </c>
      <c r="F408" s="7" t="str">
        <f t="shared" si="6"/>
        <v>Over Budget</v>
      </c>
      <c r="G408" s="7" t="s">
        <v>35</v>
      </c>
    </row>
    <row r="409" spans="1:7" x14ac:dyDescent="0.25">
      <c r="A409" s="7" t="s">
        <v>10</v>
      </c>
      <c r="B409" s="7" t="s">
        <v>13</v>
      </c>
      <c r="C409" s="7" t="s">
        <v>23</v>
      </c>
      <c r="D409" s="7">
        <v>3112</v>
      </c>
      <c r="E409" s="7">
        <v>4368</v>
      </c>
      <c r="F409" s="7" t="str">
        <f t="shared" si="6"/>
        <v>Over Budget</v>
      </c>
      <c r="G409" s="7" t="s">
        <v>34</v>
      </c>
    </row>
    <row r="410" spans="1:7" x14ac:dyDescent="0.25">
      <c r="A410" s="7" t="s">
        <v>6</v>
      </c>
      <c r="B410" s="7" t="s">
        <v>17</v>
      </c>
      <c r="C410" s="7" t="s">
        <v>29</v>
      </c>
      <c r="D410" s="7">
        <v>3309</v>
      </c>
      <c r="E410" s="7">
        <v>8075</v>
      </c>
      <c r="F410" s="7" t="str">
        <f t="shared" si="6"/>
        <v>Over Budget</v>
      </c>
      <c r="G410" s="7" t="s">
        <v>32</v>
      </c>
    </row>
    <row r="411" spans="1:7" x14ac:dyDescent="0.25">
      <c r="A411" s="7" t="s">
        <v>11</v>
      </c>
      <c r="B411" s="7" t="s">
        <v>13</v>
      </c>
      <c r="C411" s="7" t="s">
        <v>26</v>
      </c>
      <c r="D411" s="7">
        <v>6369</v>
      </c>
      <c r="E411" s="7">
        <v>11050</v>
      </c>
      <c r="F411" s="7" t="str">
        <f t="shared" si="6"/>
        <v>Over Budget</v>
      </c>
      <c r="G411" s="7"/>
    </row>
    <row r="412" spans="1:7" x14ac:dyDescent="0.25">
      <c r="A412" s="7" t="s">
        <v>11</v>
      </c>
      <c r="B412" s="7" t="s">
        <v>19</v>
      </c>
      <c r="C412" s="7" t="s">
        <v>26</v>
      </c>
      <c r="D412" s="7">
        <v>5681</v>
      </c>
      <c r="E412" s="7">
        <v>9019</v>
      </c>
      <c r="F412" s="7" t="str">
        <f t="shared" si="6"/>
        <v>Over Budget</v>
      </c>
      <c r="G412" s="7"/>
    </row>
    <row r="413" spans="1:7" x14ac:dyDescent="0.25">
      <c r="A413" s="7" t="s">
        <v>9</v>
      </c>
      <c r="B413" s="7" t="s">
        <v>19</v>
      </c>
      <c r="C413" s="7" t="s">
        <v>27</v>
      </c>
      <c r="D413" s="7">
        <v>2843</v>
      </c>
      <c r="E413" s="7">
        <v>8371</v>
      </c>
      <c r="F413" s="7" t="str">
        <f t="shared" si="6"/>
        <v>Over Budget</v>
      </c>
      <c r="G413" s="7" t="s">
        <v>33</v>
      </c>
    </row>
    <row r="414" spans="1:7" x14ac:dyDescent="0.25">
      <c r="A414" s="7" t="s">
        <v>9</v>
      </c>
      <c r="B414" s="7" t="s">
        <v>14</v>
      </c>
      <c r="C414" s="7" t="s">
        <v>28</v>
      </c>
      <c r="D414" s="7">
        <v>8661</v>
      </c>
      <c r="E414" s="7">
        <v>5009</v>
      </c>
      <c r="F414" s="7" t="str">
        <f t="shared" si="6"/>
        <v>On Budget</v>
      </c>
      <c r="G414" s="7" t="s">
        <v>34</v>
      </c>
    </row>
    <row r="415" spans="1:7" x14ac:dyDescent="0.25">
      <c r="A415" s="7" t="s">
        <v>7</v>
      </c>
      <c r="B415" s="7" t="s">
        <v>19</v>
      </c>
      <c r="C415" s="7" t="s">
        <v>24</v>
      </c>
      <c r="D415" s="7">
        <v>5788</v>
      </c>
      <c r="E415" s="7">
        <v>3671</v>
      </c>
      <c r="F415" s="7" t="str">
        <f t="shared" si="6"/>
        <v>On Budget</v>
      </c>
      <c r="G415" s="7"/>
    </row>
    <row r="416" spans="1:7" x14ac:dyDescent="0.25">
      <c r="A416" s="7" t="s">
        <v>11</v>
      </c>
      <c r="B416" s="7" t="s">
        <v>14</v>
      </c>
      <c r="C416" s="7" t="s">
        <v>25</v>
      </c>
      <c r="D416" s="7">
        <v>9496</v>
      </c>
      <c r="E416" s="7">
        <v>10916</v>
      </c>
      <c r="F416" s="7" t="str">
        <f t="shared" si="6"/>
        <v>Over Budget</v>
      </c>
      <c r="G416" s="7"/>
    </row>
    <row r="417" spans="1:7" x14ac:dyDescent="0.25">
      <c r="A417" s="7" t="s">
        <v>10</v>
      </c>
      <c r="B417" s="7" t="s">
        <v>16</v>
      </c>
      <c r="C417" s="7" t="s">
        <v>24</v>
      </c>
      <c r="D417" s="7">
        <v>5345</v>
      </c>
      <c r="E417" s="7">
        <v>3641</v>
      </c>
      <c r="F417" s="7" t="str">
        <f t="shared" si="6"/>
        <v>On Budget</v>
      </c>
      <c r="G417" s="7"/>
    </row>
    <row r="418" spans="1:7" x14ac:dyDescent="0.25">
      <c r="A418" s="7" t="s">
        <v>10</v>
      </c>
      <c r="B418" s="7" t="s">
        <v>14</v>
      </c>
      <c r="C418" s="7" t="s">
        <v>20</v>
      </c>
      <c r="D418" s="7">
        <v>8724</v>
      </c>
      <c r="E418" s="7">
        <v>11752</v>
      </c>
      <c r="F418" s="7" t="str">
        <f t="shared" si="6"/>
        <v>Over Budget</v>
      </c>
      <c r="G418" s="7" t="s">
        <v>35</v>
      </c>
    </row>
    <row r="419" spans="1:7" x14ac:dyDescent="0.25">
      <c r="A419" s="7" t="s">
        <v>12</v>
      </c>
      <c r="B419" s="7" t="s">
        <v>17</v>
      </c>
      <c r="C419" s="7" t="s">
        <v>26</v>
      </c>
      <c r="D419" s="7">
        <v>4820</v>
      </c>
      <c r="E419" s="7">
        <v>10915</v>
      </c>
      <c r="F419" s="7" t="str">
        <f t="shared" si="6"/>
        <v>Over Budget</v>
      </c>
      <c r="G419" s="7"/>
    </row>
    <row r="420" spans="1:7" x14ac:dyDescent="0.25">
      <c r="A420" s="7" t="s">
        <v>10</v>
      </c>
      <c r="B420" s="7" t="s">
        <v>13</v>
      </c>
      <c r="C420" s="7" t="s">
        <v>27</v>
      </c>
      <c r="D420" s="7">
        <v>1143</v>
      </c>
      <c r="E420" s="7">
        <v>11179</v>
      </c>
      <c r="F420" s="7" t="str">
        <f t="shared" si="6"/>
        <v>Over Budget</v>
      </c>
      <c r="G420" s="7"/>
    </row>
    <row r="421" spans="1:7" x14ac:dyDescent="0.25">
      <c r="A421" s="7" t="s">
        <v>6</v>
      </c>
      <c r="B421" s="7" t="s">
        <v>17</v>
      </c>
      <c r="C421" s="7" t="s">
        <v>21</v>
      </c>
      <c r="D421" s="7">
        <v>3112</v>
      </c>
      <c r="E421" s="7">
        <v>864</v>
      </c>
      <c r="F421" s="7" t="str">
        <f t="shared" si="6"/>
        <v>On Budget</v>
      </c>
      <c r="G421" s="7" t="s">
        <v>34</v>
      </c>
    </row>
    <row r="422" spans="1:7" x14ac:dyDescent="0.25">
      <c r="A422" s="7" t="s">
        <v>7</v>
      </c>
      <c r="B422" s="7" t="s">
        <v>16</v>
      </c>
      <c r="C422" s="7" t="s">
        <v>30</v>
      </c>
      <c r="D422" s="7">
        <v>9391</v>
      </c>
      <c r="E422" s="7">
        <v>5280</v>
      </c>
      <c r="F422" s="7" t="str">
        <f t="shared" si="6"/>
        <v>On Budget</v>
      </c>
      <c r="G422" s="7" t="s">
        <v>35</v>
      </c>
    </row>
    <row r="423" spans="1:7" x14ac:dyDescent="0.25">
      <c r="A423" s="7" t="s">
        <v>11</v>
      </c>
      <c r="B423" s="7" t="s">
        <v>15</v>
      </c>
      <c r="C423" s="7" t="s">
        <v>27</v>
      </c>
      <c r="D423" s="7">
        <v>4770</v>
      </c>
      <c r="E423" s="7">
        <v>10869</v>
      </c>
      <c r="F423" s="7" t="str">
        <f t="shared" si="6"/>
        <v>Over Budget</v>
      </c>
      <c r="G423" s="7" t="s">
        <v>34</v>
      </c>
    </row>
    <row r="424" spans="1:7" x14ac:dyDescent="0.25">
      <c r="A424" s="7" t="s">
        <v>9</v>
      </c>
      <c r="B424" s="7" t="s">
        <v>15</v>
      </c>
      <c r="C424" s="7" t="s">
        <v>29</v>
      </c>
      <c r="D424" s="7">
        <v>8746</v>
      </c>
      <c r="E424" s="7">
        <v>8256</v>
      </c>
      <c r="F424" s="7" t="str">
        <f t="shared" si="6"/>
        <v>On Budget</v>
      </c>
      <c r="G424" s="7" t="s">
        <v>33</v>
      </c>
    </row>
    <row r="425" spans="1:7" x14ac:dyDescent="0.25">
      <c r="A425" s="7" t="s">
        <v>6</v>
      </c>
      <c r="B425" s="7" t="s">
        <v>13</v>
      </c>
      <c r="C425" s="7" t="s">
        <v>22</v>
      </c>
      <c r="D425" s="7">
        <v>1425</v>
      </c>
      <c r="E425" s="7">
        <v>9194</v>
      </c>
      <c r="F425" s="7" t="str">
        <f t="shared" si="6"/>
        <v>Over Budget</v>
      </c>
      <c r="G425" s="7" t="s">
        <v>32</v>
      </c>
    </row>
    <row r="426" spans="1:7" x14ac:dyDescent="0.25">
      <c r="A426" s="7" t="s">
        <v>10</v>
      </c>
      <c r="B426" s="7" t="s">
        <v>18</v>
      </c>
      <c r="C426" s="7" t="s">
        <v>27</v>
      </c>
      <c r="D426" s="7">
        <v>6268</v>
      </c>
      <c r="E426" s="7">
        <v>6863</v>
      </c>
      <c r="F426" s="7" t="str">
        <f t="shared" si="6"/>
        <v>Over Budget</v>
      </c>
      <c r="G426" s="7" t="s">
        <v>34</v>
      </c>
    </row>
    <row r="427" spans="1:7" x14ac:dyDescent="0.25">
      <c r="A427" s="7" t="s">
        <v>11</v>
      </c>
      <c r="B427" s="7" t="s">
        <v>19</v>
      </c>
      <c r="C427" s="7" t="s">
        <v>23</v>
      </c>
      <c r="D427" s="7">
        <v>2613</v>
      </c>
      <c r="E427" s="7">
        <v>2542</v>
      </c>
      <c r="F427" s="7" t="str">
        <f t="shared" si="6"/>
        <v>On Budget</v>
      </c>
      <c r="G427" s="7" t="s">
        <v>34</v>
      </c>
    </row>
    <row r="428" spans="1:7" x14ac:dyDescent="0.25">
      <c r="A428" s="7" t="s">
        <v>7</v>
      </c>
      <c r="B428" s="7" t="s">
        <v>16</v>
      </c>
      <c r="C428" s="7" t="s">
        <v>29</v>
      </c>
      <c r="D428" s="7">
        <v>9095</v>
      </c>
      <c r="E428" s="7">
        <v>4732</v>
      </c>
      <c r="F428" s="7" t="str">
        <f t="shared" si="6"/>
        <v>On Budget</v>
      </c>
      <c r="G428" s="7" t="s">
        <v>32</v>
      </c>
    </row>
    <row r="429" spans="1:7" x14ac:dyDescent="0.25">
      <c r="A429" s="7" t="s">
        <v>9</v>
      </c>
      <c r="B429" s="7" t="s">
        <v>14</v>
      </c>
      <c r="C429" s="7" t="s">
        <v>28</v>
      </c>
      <c r="D429" s="7">
        <v>9669</v>
      </c>
      <c r="E429" s="7">
        <v>7890</v>
      </c>
      <c r="F429" s="7" t="str">
        <f t="shared" si="6"/>
        <v>On Budget</v>
      </c>
      <c r="G429" s="7" t="s">
        <v>34</v>
      </c>
    </row>
    <row r="430" spans="1:7" x14ac:dyDescent="0.25">
      <c r="A430" s="7" t="s">
        <v>7</v>
      </c>
      <c r="B430" s="7" t="s">
        <v>14</v>
      </c>
      <c r="C430" s="7" t="s">
        <v>25</v>
      </c>
      <c r="D430" s="7">
        <v>5163</v>
      </c>
      <c r="E430" s="7">
        <v>3660</v>
      </c>
      <c r="F430" s="7" t="str">
        <f t="shared" si="6"/>
        <v>On Budget</v>
      </c>
      <c r="G430" s="7" t="s">
        <v>34</v>
      </c>
    </row>
    <row r="431" spans="1:7" x14ac:dyDescent="0.25">
      <c r="A431" s="7" t="s">
        <v>12</v>
      </c>
      <c r="B431" s="7" t="s">
        <v>14</v>
      </c>
      <c r="C431" s="7" t="s">
        <v>29</v>
      </c>
      <c r="D431" s="7">
        <v>6831</v>
      </c>
      <c r="E431" s="7">
        <v>5287</v>
      </c>
      <c r="F431" s="7" t="str">
        <f t="shared" si="6"/>
        <v>On Budget</v>
      </c>
      <c r="G431" s="7"/>
    </row>
    <row r="432" spans="1:7" x14ac:dyDescent="0.25">
      <c r="A432" s="7" t="s">
        <v>12</v>
      </c>
      <c r="B432" s="7" t="s">
        <v>16</v>
      </c>
      <c r="C432" s="7" t="s">
        <v>28</v>
      </c>
      <c r="D432" s="7">
        <v>1781</v>
      </c>
      <c r="E432" s="7">
        <v>5118</v>
      </c>
      <c r="F432" s="7" t="str">
        <f t="shared" si="6"/>
        <v>Over Budget</v>
      </c>
      <c r="G432" s="7"/>
    </row>
    <row r="433" spans="1:7" x14ac:dyDescent="0.25">
      <c r="A433" s="7" t="s">
        <v>8</v>
      </c>
      <c r="B433" s="7" t="s">
        <v>19</v>
      </c>
      <c r="C433" s="7" t="s">
        <v>25</v>
      </c>
      <c r="D433" s="7">
        <v>9572</v>
      </c>
      <c r="E433" s="7">
        <v>4180</v>
      </c>
      <c r="F433" s="7" t="str">
        <f t="shared" si="6"/>
        <v>On Budget</v>
      </c>
      <c r="G433" s="7" t="s">
        <v>33</v>
      </c>
    </row>
    <row r="434" spans="1:7" x14ac:dyDescent="0.25">
      <c r="A434" s="7" t="s">
        <v>10</v>
      </c>
      <c r="B434" s="7" t="s">
        <v>14</v>
      </c>
      <c r="C434" s="7" t="s">
        <v>29</v>
      </c>
      <c r="D434" s="7">
        <v>9038</v>
      </c>
      <c r="E434" s="7">
        <v>11675</v>
      </c>
      <c r="F434" s="7" t="str">
        <f t="shared" si="6"/>
        <v>Over Budget</v>
      </c>
      <c r="G434" s="7" t="s">
        <v>33</v>
      </c>
    </row>
    <row r="435" spans="1:7" x14ac:dyDescent="0.25">
      <c r="A435" s="7" t="s">
        <v>7</v>
      </c>
      <c r="B435" s="7" t="s">
        <v>15</v>
      </c>
      <c r="C435" s="7" t="s">
        <v>29</v>
      </c>
      <c r="D435" s="7">
        <v>6317</v>
      </c>
      <c r="E435" s="7">
        <v>8373</v>
      </c>
      <c r="F435" s="7" t="str">
        <f t="shared" si="6"/>
        <v>Over Budget</v>
      </c>
      <c r="G435" s="7" t="s">
        <v>34</v>
      </c>
    </row>
    <row r="436" spans="1:7" x14ac:dyDescent="0.25">
      <c r="A436" s="7" t="s">
        <v>9</v>
      </c>
      <c r="B436" s="7" t="s">
        <v>16</v>
      </c>
      <c r="C436" s="7" t="s">
        <v>27</v>
      </c>
      <c r="D436" s="7">
        <v>7932</v>
      </c>
      <c r="E436" s="7">
        <v>11043</v>
      </c>
      <c r="F436" s="7" t="str">
        <f t="shared" si="6"/>
        <v>Over Budget</v>
      </c>
      <c r="G436" s="7" t="s">
        <v>35</v>
      </c>
    </row>
    <row r="437" spans="1:7" x14ac:dyDescent="0.25">
      <c r="A437" s="7" t="s">
        <v>9</v>
      </c>
      <c r="B437" s="7" t="s">
        <v>19</v>
      </c>
      <c r="C437" s="7" t="s">
        <v>26</v>
      </c>
      <c r="D437" s="7">
        <v>9871</v>
      </c>
      <c r="E437" s="7">
        <v>6466</v>
      </c>
      <c r="F437" s="7" t="str">
        <f t="shared" si="6"/>
        <v>On Budget</v>
      </c>
      <c r="G437" s="7"/>
    </row>
    <row r="438" spans="1:7" x14ac:dyDescent="0.25">
      <c r="A438" s="7" t="s">
        <v>9</v>
      </c>
      <c r="B438" s="7" t="s">
        <v>17</v>
      </c>
      <c r="C438" s="7" t="s">
        <v>31</v>
      </c>
      <c r="D438" s="7">
        <v>2475</v>
      </c>
      <c r="E438" s="7">
        <v>4554</v>
      </c>
      <c r="F438" s="7" t="str">
        <f t="shared" si="6"/>
        <v>Over Budget</v>
      </c>
      <c r="G438" s="7" t="s">
        <v>33</v>
      </c>
    </row>
    <row r="439" spans="1:7" x14ac:dyDescent="0.25">
      <c r="A439" s="7" t="s">
        <v>11</v>
      </c>
      <c r="B439" s="7" t="s">
        <v>13</v>
      </c>
      <c r="C439" s="7" t="s">
        <v>20</v>
      </c>
      <c r="D439" s="7">
        <v>5429</v>
      </c>
      <c r="E439" s="7">
        <v>8338</v>
      </c>
      <c r="F439" s="7" t="str">
        <f t="shared" si="6"/>
        <v>Over Budget</v>
      </c>
      <c r="G439" s="7" t="s">
        <v>32</v>
      </c>
    </row>
    <row r="440" spans="1:7" x14ac:dyDescent="0.25">
      <c r="A440" s="7" t="s">
        <v>6</v>
      </c>
      <c r="B440" s="7" t="s">
        <v>13</v>
      </c>
      <c r="C440" s="7" t="s">
        <v>20</v>
      </c>
      <c r="D440" s="7">
        <v>5589</v>
      </c>
      <c r="E440" s="7">
        <v>7488</v>
      </c>
      <c r="F440" s="7" t="str">
        <f t="shared" si="6"/>
        <v>Over Budget</v>
      </c>
      <c r="G440" s="7"/>
    </row>
    <row r="441" spans="1:7" x14ac:dyDescent="0.25">
      <c r="A441" s="7" t="s">
        <v>11</v>
      </c>
      <c r="B441" s="7" t="s">
        <v>13</v>
      </c>
      <c r="C441" s="7" t="s">
        <v>31</v>
      </c>
      <c r="D441" s="7">
        <v>2318</v>
      </c>
      <c r="E441" s="7">
        <v>11633</v>
      </c>
      <c r="F441" s="7" t="str">
        <f t="shared" si="6"/>
        <v>Over Budget</v>
      </c>
      <c r="G441" s="7" t="s">
        <v>34</v>
      </c>
    </row>
    <row r="442" spans="1:7" x14ac:dyDescent="0.25">
      <c r="A442" s="7" t="s">
        <v>10</v>
      </c>
      <c r="B442" s="7" t="s">
        <v>13</v>
      </c>
      <c r="C442" s="7" t="s">
        <v>24</v>
      </c>
      <c r="D442" s="7">
        <v>9669</v>
      </c>
      <c r="E442" s="7">
        <v>6073</v>
      </c>
      <c r="F442" s="7" t="str">
        <f t="shared" si="6"/>
        <v>On Budget</v>
      </c>
      <c r="G442" s="7" t="s">
        <v>32</v>
      </c>
    </row>
    <row r="443" spans="1:7" x14ac:dyDescent="0.25">
      <c r="A443" s="7" t="s">
        <v>11</v>
      </c>
      <c r="B443" s="7" t="s">
        <v>18</v>
      </c>
      <c r="C443" s="7" t="s">
        <v>21</v>
      </c>
      <c r="D443" s="7">
        <v>4450</v>
      </c>
      <c r="E443" s="7">
        <v>7714</v>
      </c>
      <c r="F443" s="7" t="str">
        <f t="shared" si="6"/>
        <v>Over Budget</v>
      </c>
      <c r="G443" s="7"/>
    </row>
    <row r="444" spans="1:7" x14ac:dyDescent="0.25">
      <c r="A444" s="7" t="s">
        <v>8</v>
      </c>
      <c r="B444" s="7" t="s">
        <v>15</v>
      </c>
      <c r="C444" s="7" t="s">
        <v>31</v>
      </c>
      <c r="D444" s="7">
        <v>5464</v>
      </c>
      <c r="E444" s="7">
        <v>1674</v>
      </c>
      <c r="F444" s="7" t="str">
        <f t="shared" si="6"/>
        <v>On Budget</v>
      </c>
      <c r="G444" s="7" t="s">
        <v>33</v>
      </c>
    </row>
    <row r="445" spans="1:7" x14ac:dyDescent="0.25">
      <c r="A445" s="7" t="s">
        <v>6</v>
      </c>
      <c r="B445" s="7" t="s">
        <v>14</v>
      </c>
      <c r="C445" s="7" t="s">
        <v>23</v>
      </c>
      <c r="D445" s="7">
        <v>6383</v>
      </c>
      <c r="E445" s="7">
        <v>3376</v>
      </c>
      <c r="F445" s="7" t="str">
        <f t="shared" si="6"/>
        <v>On Budget</v>
      </c>
      <c r="G445" s="7" t="s">
        <v>34</v>
      </c>
    </row>
    <row r="446" spans="1:7" x14ac:dyDescent="0.25">
      <c r="A446" s="7" t="s">
        <v>7</v>
      </c>
      <c r="B446" s="7" t="s">
        <v>18</v>
      </c>
      <c r="C446" s="7" t="s">
        <v>28</v>
      </c>
      <c r="D446" s="7">
        <v>3171</v>
      </c>
      <c r="E446" s="7">
        <v>6967</v>
      </c>
      <c r="F446" s="7" t="str">
        <f t="shared" si="6"/>
        <v>Over Budget</v>
      </c>
      <c r="G446" s="7" t="s">
        <v>35</v>
      </c>
    </row>
    <row r="447" spans="1:7" x14ac:dyDescent="0.25">
      <c r="A447" s="7" t="s">
        <v>10</v>
      </c>
      <c r="B447" s="7" t="s">
        <v>19</v>
      </c>
      <c r="C447" s="7" t="s">
        <v>31</v>
      </c>
      <c r="D447" s="7">
        <v>8152</v>
      </c>
      <c r="E447" s="7">
        <v>2121</v>
      </c>
      <c r="F447" s="7" t="str">
        <f t="shared" si="6"/>
        <v>On Budget</v>
      </c>
      <c r="G447" s="7" t="s">
        <v>32</v>
      </c>
    </row>
    <row r="448" spans="1:7" x14ac:dyDescent="0.25">
      <c r="A448" s="7" t="s">
        <v>11</v>
      </c>
      <c r="B448" s="7" t="s">
        <v>19</v>
      </c>
      <c r="C448" s="7" t="s">
        <v>24</v>
      </c>
      <c r="D448" s="7">
        <v>2007</v>
      </c>
      <c r="E448" s="7">
        <v>11357</v>
      </c>
      <c r="F448" s="7" t="str">
        <f t="shared" si="6"/>
        <v>Over Budget</v>
      </c>
      <c r="G448" s="7" t="s">
        <v>33</v>
      </c>
    </row>
    <row r="449" spans="1:7" x14ac:dyDescent="0.25">
      <c r="A449" s="7" t="s">
        <v>10</v>
      </c>
      <c r="B449" s="7" t="s">
        <v>17</v>
      </c>
      <c r="C449" s="7" t="s">
        <v>23</v>
      </c>
      <c r="D449" s="7">
        <v>1084</v>
      </c>
      <c r="E449" s="7">
        <v>5008</v>
      </c>
      <c r="F449" s="7" t="str">
        <f t="shared" si="6"/>
        <v>Over Budget</v>
      </c>
      <c r="G449" s="7" t="s">
        <v>34</v>
      </c>
    </row>
    <row r="450" spans="1:7" x14ac:dyDescent="0.25">
      <c r="A450" s="7" t="s">
        <v>8</v>
      </c>
      <c r="B450" s="7" t="s">
        <v>13</v>
      </c>
      <c r="C450" s="7" t="s">
        <v>31</v>
      </c>
      <c r="D450" s="7">
        <v>3210</v>
      </c>
      <c r="E450" s="7">
        <v>5702</v>
      </c>
      <c r="F450" s="7" t="str">
        <f t="shared" si="6"/>
        <v>Over Budget</v>
      </c>
      <c r="G450" s="7" t="s">
        <v>33</v>
      </c>
    </row>
    <row r="451" spans="1:7" x14ac:dyDescent="0.25">
      <c r="A451" s="7" t="s">
        <v>11</v>
      </c>
      <c r="B451" s="7" t="s">
        <v>14</v>
      </c>
      <c r="C451" s="7" t="s">
        <v>23</v>
      </c>
      <c r="D451" s="7">
        <v>1501</v>
      </c>
      <c r="E451" s="7">
        <v>7355</v>
      </c>
      <c r="F451" s="7" t="str">
        <f t="shared" ref="F451:F501" si="7">IF(E451&lt;=D451,"On Budget","Over Budget")</f>
        <v>Over Budget</v>
      </c>
      <c r="G451" s="7" t="s">
        <v>32</v>
      </c>
    </row>
    <row r="452" spans="1:7" x14ac:dyDescent="0.25">
      <c r="A452" s="7" t="s">
        <v>12</v>
      </c>
      <c r="B452" s="7" t="s">
        <v>18</v>
      </c>
      <c r="C452" s="7" t="s">
        <v>23</v>
      </c>
      <c r="D452" s="7">
        <v>4246</v>
      </c>
      <c r="E452" s="7">
        <v>11701</v>
      </c>
      <c r="F452" s="7" t="str">
        <f t="shared" si="7"/>
        <v>Over Budget</v>
      </c>
      <c r="G452" s="7" t="s">
        <v>35</v>
      </c>
    </row>
    <row r="453" spans="1:7" x14ac:dyDescent="0.25">
      <c r="A453" s="7" t="s">
        <v>11</v>
      </c>
      <c r="B453" s="7" t="s">
        <v>17</v>
      </c>
      <c r="C453" s="7" t="s">
        <v>24</v>
      </c>
      <c r="D453" s="7">
        <v>8281</v>
      </c>
      <c r="E453" s="7">
        <v>10423</v>
      </c>
      <c r="F453" s="7" t="str">
        <f t="shared" si="7"/>
        <v>Over Budget</v>
      </c>
      <c r="G453" s="7" t="s">
        <v>32</v>
      </c>
    </row>
    <row r="454" spans="1:7" x14ac:dyDescent="0.25">
      <c r="A454" s="7" t="s">
        <v>8</v>
      </c>
      <c r="B454" s="7" t="s">
        <v>13</v>
      </c>
      <c r="C454" s="7" t="s">
        <v>22</v>
      </c>
      <c r="D454" s="7">
        <v>3380</v>
      </c>
      <c r="E454" s="7">
        <v>11796</v>
      </c>
      <c r="F454" s="7" t="str">
        <f t="shared" si="7"/>
        <v>Over Budget</v>
      </c>
      <c r="G454" s="7" t="s">
        <v>32</v>
      </c>
    </row>
    <row r="455" spans="1:7" x14ac:dyDescent="0.25">
      <c r="A455" s="7" t="s">
        <v>6</v>
      </c>
      <c r="B455" s="7" t="s">
        <v>17</v>
      </c>
      <c r="C455" s="7" t="s">
        <v>21</v>
      </c>
      <c r="D455" s="7">
        <v>7645</v>
      </c>
      <c r="E455" s="7">
        <v>1301</v>
      </c>
      <c r="F455" s="7" t="str">
        <f t="shared" si="7"/>
        <v>On Budget</v>
      </c>
      <c r="G455" s="7" t="s">
        <v>34</v>
      </c>
    </row>
    <row r="456" spans="1:7" x14ac:dyDescent="0.25">
      <c r="A456" s="7" t="s">
        <v>9</v>
      </c>
      <c r="B456" s="7" t="s">
        <v>18</v>
      </c>
      <c r="C456" s="7" t="s">
        <v>26</v>
      </c>
      <c r="D456" s="7">
        <v>7758</v>
      </c>
      <c r="E456" s="7">
        <v>1404</v>
      </c>
      <c r="F456" s="7" t="str">
        <f t="shared" si="7"/>
        <v>On Budget</v>
      </c>
      <c r="G456" s="7"/>
    </row>
    <row r="457" spans="1:7" x14ac:dyDescent="0.25">
      <c r="A457" s="7" t="s">
        <v>7</v>
      </c>
      <c r="B457" s="7" t="s">
        <v>14</v>
      </c>
      <c r="C457" s="7" t="s">
        <v>26</v>
      </c>
      <c r="D457" s="7">
        <v>3058</v>
      </c>
      <c r="E457" s="7">
        <v>4818</v>
      </c>
      <c r="F457" s="7" t="str">
        <f t="shared" si="7"/>
        <v>Over Budget</v>
      </c>
      <c r="G457" s="7" t="s">
        <v>32</v>
      </c>
    </row>
    <row r="458" spans="1:7" x14ac:dyDescent="0.25">
      <c r="A458" s="7" t="s">
        <v>6</v>
      </c>
      <c r="B458" s="7" t="s">
        <v>14</v>
      </c>
      <c r="C458" s="7" t="s">
        <v>20</v>
      </c>
      <c r="D458" s="7">
        <v>5798</v>
      </c>
      <c r="E458" s="7">
        <v>1833</v>
      </c>
      <c r="F458" s="7" t="str">
        <f t="shared" si="7"/>
        <v>On Budget</v>
      </c>
      <c r="G458" s="7"/>
    </row>
    <row r="459" spans="1:7" x14ac:dyDescent="0.25">
      <c r="A459" s="7" t="s">
        <v>12</v>
      </c>
      <c r="B459" s="7" t="s">
        <v>18</v>
      </c>
      <c r="C459" s="7" t="s">
        <v>25</v>
      </c>
      <c r="D459" s="7">
        <v>5827</v>
      </c>
      <c r="E459" s="7">
        <v>3418</v>
      </c>
      <c r="F459" s="7" t="str">
        <f t="shared" si="7"/>
        <v>On Budget</v>
      </c>
      <c r="G459" s="7" t="s">
        <v>34</v>
      </c>
    </row>
    <row r="460" spans="1:7" x14ac:dyDescent="0.25">
      <c r="A460" s="7" t="s">
        <v>6</v>
      </c>
      <c r="B460" s="7" t="s">
        <v>17</v>
      </c>
      <c r="C460" s="7" t="s">
        <v>25</v>
      </c>
      <c r="D460" s="7">
        <v>1353</v>
      </c>
      <c r="E460" s="7">
        <v>5797</v>
      </c>
      <c r="F460" s="7" t="str">
        <f t="shared" si="7"/>
        <v>Over Budget</v>
      </c>
      <c r="G460" s="7" t="s">
        <v>35</v>
      </c>
    </row>
    <row r="461" spans="1:7" x14ac:dyDescent="0.25">
      <c r="A461" s="7" t="s">
        <v>12</v>
      </c>
      <c r="B461" s="7" t="s">
        <v>13</v>
      </c>
      <c r="C461" s="7" t="s">
        <v>30</v>
      </c>
      <c r="D461" s="7">
        <v>7071</v>
      </c>
      <c r="E461" s="7">
        <v>4164</v>
      </c>
      <c r="F461" s="7" t="str">
        <f t="shared" si="7"/>
        <v>On Budget</v>
      </c>
      <c r="G461" s="7" t="s">
        <v>35</v>
      </c>
    </row>
    <row r="462" spans="1:7" x14ac:dyDescent="0.25">
      <c r="A462" s="7" t="s">
        <v>8</v>
      </c>
      <c r="B462" s="7" t="s">
        <v>16</v>
      </c>
      <c r="C462" s="7" t="s">
        <v>31</v>
      </c>
      <c r="D462" s="7">
        <v>6269</v>
      </c>
      <c r="E462" s="7">
        <v>2736</v>
      </c>
      <c r="F462" s="7" t="str">
        <f t="shared" si="7"/>
        <v>On Budget</v>
      </c>
      <c r="G462" s="7" t="s">
        <v>34</v>
      </c>
    </row>
    <row r="463" spans="1:7" x14ac:dyDescent="0.25">
      <c r="A463" s="7" t="s">
        <v>7</v>
      </c>
      <c r="B463" s="7" t="s">
        <v>15</v>
      </c>
      <c r="C463" s="7" t="s">
        <v>20</v>
      </c>
      <c r="D463" s="7">
        <v>8006</v>
      </c>
      <c r="E463" s="7">
        <v>2783</v>
      </c>
      <c r="F463" s="7" t="str">
        <f t="shared" si="7"/>
        <v>On Budget</v>
      </c>
      <c r="G463" s="7" t="s">
        <v>33</v>
      </c>
    </row>
    <row r="464" spans="1:7" x14ac:dyDescent="0.25">
      <c r="A464" s="7" t="s">
        <v>7</v>
      </c>
      <c r="B464" s="7" t="s">
        <v>16</v>
      </c>
      <c r="C464" s="7" t="s">
        <v>28</v>
      </c>
      <c r="D464" s="7">
        <v>6914</v>
      </c>
      <c r="E464" s="7">
        <v>6681</v>
      </c>
      <c r="F464" s="7" t="str">
        <f t="shared" si="7"/>
        <v>On Budget</v>
      </c>
      <c r="G464" s="7" t="s">
        <v>35</v>
      </c>
    </row>
    <row r="465" spans="1:7" x14ac:dyDescent="0.25">
      <c r="A465" s="7" t="s">
        <v>7</v>
      </c>
      <c r="B465" s="7" t="s">
        <v>16</v>
      </c>
      <c r="C465" s="7" t="s">
        <v>27</v>
      </c>
      <c r="D465" s="7">
        <v>1957</v>
      </c>
      <c r="E465" s="7">
        <v>4990</v>
      </c>
      <c r="F465" s="7" t="str">
        <f t="shared" si="7"/>
        <v>Over Budget</v>
      </c>
      <c r="G465" s="7" t="s">
        <v>35</v>
      </c>
    </row>
    <row r="466" spans="1:7" x14ac:dyDescent="0.25">
      <c r="A466" s="7" t="s">
        <v>6</v>
      </c>
      <c r="B466" s="7" t="s">
        <v>18</v>
      </c>
      <c r="C466" s="7" t="s">
        <v>28</v>
      </c>
      <c r="D466" s="7">
        <v>6803</v>
      </c>
      <c r="E466" s="7">
        <v>1195</v>
      </c>
      <c r="F466" s="7" t="str">
        <f t="shared" si="7"/>
        <v>On Budget</v>
      </c>
      <c r="G466" s="7" t="s">
        <v>33</v>
      </c>
    </row>
    <row r="467" spans="1:7" x14ac:dyDescent="0.25">
      <c r="A467" s="7" t="s">
        <v>10</v>
      </c>
      <c r="B467" s="7" t="s">
        <v>13</v>
      </c>
      <c r="C467" s="7" t="s">
        <v>28</v>
      </c>
      <c r="D467" s="7">
        <v>8063</v>
      </c>
      <c r="E467" s="7">
        <v>9253</v>
      </c>
      <c r="F467" s="7" t="str">
        <f t="shared" si="7"/>
        <v>Over Budget</v>
      </c>
      <c r="G467" s="7" t="s">
        <v>35</v>
      </c>
    </row>
    <row r="468" spans="1:7" x14ac:dyDescent="0.25">
      <c r="A468" s="7" t="s">
        <v>6</v>
      </c>
      <c r="B468" s="7" t="s">
        <v>15</v>
      </c>
      <c r="C468" s="7" t="s">
        <v>23</v>
      </c>
      <c r="D468" s="7">
        <v>1143</v>
      </c>
      <c r="E468" s="7">
        <v>10601</v>
      </c>
      <c r="F468" s="7" t="str">
        <f t="shared" si="7"/>
        <v>Over Budget</v>
      </c>
      <c r="G468" s="7" t="s">
        <v>34</v>
      </c>
    </row>
    <row r="469" spans="1:7" x14ac:dyDescent="0.25">
      <c r="A469" s="7" t="s">
        <v>11</v>
      </c>
      <c r="B469" s="7" t="s">
        <v>16</v>
      </c>
      <c r="C469" s="7" t="s">
        <v>27</v>
      </c>
      <c r="D469" s="7">
        <v>7332</v>
      </c>
      <c r="E469" s="7">
        <v>8355</v>
      </c>
      <c r="F469" s="7" t="str">
        <f t="shared" si="7"/>
        <v>Over Budget</v>
      </c>
      <c r="G469" s="7" t="s">
        <v>34</v>
      </c>
    </row>
    <row r="470" spans="1:7" x14ac:dyDescent="0.25">
      <c r="A470" s="7" t="s">
        <v>6</v>
      </c>
      <c r="B470" s="7" t="s">
        <v>15</v>
      </c>
      <c r="C470" s="7" t="s">
        <v>31</v>
      </c>
      <c r="D470" s="7">
        <v>7955</v>
      </c>
      <c r="E470" s="7">
        <v>1038</v>
      </c>
      <c r="F470" s="7" t="str">
        <f t="shared" si="7"/>
        <v>On Budget</v>
      </c>
      <c r="G470" s="7" t="s">
        <v>33</v>
      </c>
    </row>
    <row r="471" spans="1:7" x14ac:dyDescent="0.25">
      <c r="A471" s="7" t="s">
        <v>8</v>
      </c>
      <c r="B471" s="7" t="s">
        <v>17</v>
      </c>
      <c r="C471" s="7" t="s">
        <v>28</v>
      </c>
      <c r="D471" s="7">
        <v>7477</v>
      </c>
      <c r="E471" s="7">
        <v>2714</v>
      </c>
      <c r="F471" s="7" t="str">
        <f t="shared" si="7"/>
        <v>On Budget</v>
      </c>
      <c r="G471" s="7"/>
    </row>
    <row r="472" spans="1:7" x14ac:dyDescent="0.25">
      <c r="A472" s="7" t="s">
        <v>12</v>
      </c>
      <c r="B472" s="7" t="s">
        <v>14</v>
      </c>
      <c r="C472" s="7" t="s">
        <v>23</v>
      </c>
      <c r="D472" s="7">
        <v>1696</v>
      </c>
      <c r="E472" s="7">
        <v>6119</v>
      </c>
      <c r="F472" s="7" t="str">
        <f t="shared" si="7"/>
        <v>Over Budget</v>
      </c>
      <c r="G472" s="7" t="s">
        <v>33</v>
      </c>
    </row>
    <row r="473" spans="1:7" x14ac:dyDescent="0.25">
      <c r="A473" s="7" t="s">
        <v>9</v>
      </c>
      <c r="B473" s="7" t="s">
        <v>13</v>
      </c>
      <c r="C473" s="7" t="s">
        <v>30</v>
      </c>
      <c r="D473" s="7">
        <v>6900</v>
      </c>
      <c r="E473" s="7">
        <v>8010</v>
      </c>
      <c r="F473" s="7" t="str">
        <f t="shared" si="7"/>
        <v>Over Budget</v>
      </c>
      <c r="G473" s="7" t="s">
        <v>34</v>
      </c>
    </row>
    <row r="474" spans="1:7" x14ac:dyDescent="0.25">
      <c r="A474" s="7" t="s">
        <v>9</v>
      </c>
      <c r="B474" s="7" t="s">
        <v>14</v>
      </c>
      <c r="C474" s="7" t="s">
        <v>22</v>
      </c>
      <c r="D474" s="7">
        <v>6130</v>
      </c>
      <c r="E474" s="7">
        <v>11438</v>
      </c>
      <c r="F474" s="7" t="str">
        <f t="shared" si="7"/>
        <v>Over Budget</v>
      </c>
      <c r="G474" s="7" t="s">
        <v>35</v>
      </c>
    </row>
    <row r="475" spans="1:7" x14ac:dyDescent="0.25">
      <c r="A475" s="7" t="s">
        <v>12</v>
      </c>
      <c r="B475" s="7" t="s">
        <v>15</v>
      </c>
      <c r="C475" s="7" t="s">
        <v>22</v>
      </c>
      <c r="D475" s="7">
        <v>8178</v>
      </c>
      <c r="E475" s="7">
        <v>9511</v>
      </c>
      <c r="F475" s="7" t="str">
        <f t="shared" si="7"/>
        <v>Over Budget</v>
      </c>
      <c r="G475" s="7" t="s">
        <v>33</v>
      </c>
    </row>
    <row r="476" spans="1:7" x14ac:dyDescent="0.25">
      <c r="A476" s="7" t="s">
        <v>11</v>
      </c>
      <c r="B476" s="7" t="s">
        <v>19</v>
      </c>
      <c r="C476" s="7" t="s">
        <v>20</v>
      </c>
      <c r="D476" s="7">
        <v>3994</v>
      </c>
      <c r="E476" s="7">
        <v>1829</v>
      </c>
      <c r="F476" s="7" t="str">
        <f t="shared" si="7"/>
        <v>On Budget</v>
      </c>
      <c r="G476" s="7" t="s">
        <v>32</v>
      </c>
    </row>
    <row r="477" spans="1:7" x14ac:dyDescent="0.25">
      <c r="A477" s="7" t="s">
        <v>8</v>
      </c>
      <c r="B477" s="7" t="s">
        <v>19</v>
      </c>
      <c r="C477" s="7" t="s">
        <v>30</v>
      </c>
      <c r="D477" s="7">
        <v>3737</v>
      </c>
      <c r="E477" s="7">
        <v>8005</v>
      </c>
      <c r="F477" s="7" t="str">
        <f t="shared" si="7"/>
        <v>Over Budget</v>
      </c>
      <c r="G477" s="7"/>
    </row>
    <row r="478" spans="1:7" x14ac:dyDescent="0.25">
      <c r="A478" s="7" t="s">
        <v>8</v>
      </c>
      <c r="B478" s="7" t="s">
        <v>17</v>
      </c>
      <c r="C478" s="7" t="s">
        <v>20</v>
      </c>
      <c r="D478" s="7">
        <v>6107</v>
      </c>
      <c r="E478" s="7">
        <v>2584</v>
      </c>
      <c r="F478" s="7" t="str">
        <f t="shared" si="7"/>
        <v>On Budget</v>
      </c>
      <c r="G478" s="7"/>
    </row>
    <row r="479" spans="1:7" x14ac:dyDescent="0.25">
      <c r="A479" s="7" t="s">
        <v>8</v>
      </c>
      <c r="B479" s="7" t="s">
        <v>15</v>
      </c>
      <c r="C479" s="7" t="s">
        <v>23</v>
      </c>
      <c r="D479" s="7">
        <v>7651</v>
      </c>
      <c r="E479" s="7">
        <v>5056</v>
      </c>
      <c r="F479" s="7" t="str">
        <f t="shared" si="7"/>
        <v>On Budget</v>
      </c>
      <c r="G479" s="7" t="s">
        <v>35</v>
      </c>
    </row>
    <row r="480" spans="1:7" x14ac:dyDescent="0.25">
      <c r="A480" s="7" t="s">
        <v>6</v>
      </c>
      <c r="B480" s="7" t="s">
        <v>18</v>
      </c>
      <c r="C480" s="7" t="s">
        <v>22</v>
      </c>
      <c r="D480" s="7">
        <v>8276</v>
      </c>
      <c r="E480" s="7">
        <v>4762</v>
      </c>
      <c r="F480" s="7" t="str">
        <f t="shared" si="7"/>
        <v>On Budget</v>
      </c>
      <c r="G480" s="7" t="s">
        <v>35</v>
      </c>
    </row>
    <row r="481" spans="1:7" x14ac:dyDescent="0.25">
      <c r="A481" s="7" t="s">
        <v>9</v>
      </c>
      <c r="B481" s="7" t="s">
        <v>13</v>
      </c>
      <c r="C481" s="7" t="s">
        <v>25</v>
      </c>
      <c r="D481" s="7">
        <v>2705</v>
      </c>
      <c r="E481" s="7">
        <v>6795</v>
      </c>
      <c r="F481" s="7" t="str">
        <f t="shared" si="7"/>
        <v>Over Budget</v>
      </c>
      <c r="G481" s="7" t="s">
        <v>33</v>
      </c>
    </row>
    <row r="482" spans="1:7" x14ac:dyDescent="0.25">
      <c r="A482" s="7" t="s">
        <v>11</v>
      </c>
      <c r="B482" s="7" t="s">
        <v>14</v>
      </c>
      <c r="C482" s="7" t="s">
        <v>22</v>
      </c>
      <c r="D482" s="7">
        <v>1579</v>
      </c>
      <c r="E482" s="7">
        <v>5194</v>
      </c>
      <c r="F482" s="7" t="str">
        <f t="shared" si="7"/>
        <v>Over Budget</v>
      </c>
      <c r="G482" s="7" t="s">
        <v>35</v>
      </c>
    </row>
    <row r="483" spans="1:7" x14ac:dyDescent="0.25">
      <c r="A483" s="7" t="s">
        <v>6</v>
      </c>
      <c r="B483" s="7" t="s">
        <v>16</v>
      </c>
      <c r="C483" s="7" t="s">
        <v>28</v>
      </c>
      <c r="D483" s="7">
        <v>7507</v>
      </c>
      <c r="E483" s="7">
        <v>8572</v>
      </c>
      <c r="F483" s="7" t="str">
        <f t="shared" si="7"/>
        <v>Over Budget</v>
      </c>
      <c r="G483" s="7" t="s">
        <v>34</v>
      </c>
    </row>
    <row r="484" spans="1:7" x14ac:dyDescent="0.25">
      <c r="A484" s="7" t="s">
        <v>12</v>
      </c>
      <c r="B484" s="7" t="s">
        <v>13</v>
      </c>
      <c r="C484" s="7" t="s">
        <v>25</v>
      </c>
      <c r="D484" s="7">
        <v>1308</v>
      </c>
      <c r="E484" s="7">
        <v>5012</v>
      </c>
      <c r="F484" s="7" t="str">
        <f t="shared" si="7"/>
        <v>Over Budget</v>
      </c>
      <c r="G484" s="7" t="s">
        <v>35</v>
      </c>
    </row>
    <row r="485" spans="1:7" x14ac:dyDescent="0.25">
      <c r="A485" s="7" t="s">
        <v>7</v>
      </c>
      <c r="B485" s="7" t="s">
        <v>18</v>
      </c>
      <c r="C485" s="7" t="s">
        <v>29</v>
      </c>
      <c r="D485" s="7">
        <v>5888</v>
      </c>
      <c r="E485" s="7">
        <v>4554</v>
      </c>
      <c r="F485" s="7" t="str">
        <f t="shared" si="7"/>
        <v>On Budget</v>
      </c>
      <c r="G485" s="7"/>
    </row>
    <row r="486" spans="1:7" x14ac:dyDescent="0.25">
      <c r="A486" s="7" t="s">
        <v>8</v>
      </c>
      <c r="B486" s="7" t="s">
        <v>17</v>
      </c>
      <c r="C486" s="7" t="s">
        <v>27</v>
      </c>
      <c r="D486" s="7">
        <v>2573</v>
      </c>
      <c r="E486" s="7">
        <v>4130</v>
      </c>
      <c r="F486" s="7" t="str">
        <f t="shared" si="7"/>
        <v>Over Budget</v>
      </c>
      <c r="G486" s="7" t="s">
        <v>35</v>
      </c>
    </row>
    <row r="487" spans="1:7" x14ac:dyDescent="0.25">
      <c r="A487" s="7" t="s">
        <v>12</v>
      </c>
      <c r="B487" s="7" t="s">
        <v>19</v>
      </c>
      <c r="C487" s="7" t="s">
        <v>26</v>
      </c>
      <c r="D487" s="7">
        <v>9654</v>
      </c>
      <c r="E487" s="7">
        <v>5760</v>
      </c>
      <c r="F487" s="7" t="str">
        <f t="shared" si="7"/>
        <v>On Budget</v>
      </c>
      <c r="G487" s="7" t="s">
        <v>35</v>
      </c>
    </row>
    <row r="488" spans="1:7" x14ac:dyDescent="0.25">
      <c r="A488" s="7" t="s">
        <v>10</v>
      </c>
      <c r="B488" s="7" t="s">
        <v>16</v>
      </c>
      <c r="C488" s="7" t="s">
        <v>21</v>
      </c>
      <c r="D488" s="7">
        <v>8458</v>
      </c>
      <c r="E488" s="7">
        <v>4565</v>
      </c>
      <c r="F488" s="7" t="str">
        <f t="shared" si="7"/>
        <v>On Budget</v>
      </c>
      <c r="G488" s="7" t="s">
        <v>33</v>
      </c>
    </row>
    <row r="489" spans="1:7" x14ac:dyDescent="0.25">
      <c r="A489" s="7" t="s">
        <v>9</v>
      </c>
      <c r="B489" s="7" t="s">
        <v>14</v>
      </c>
      <c r="C489" s="7" t="s">
        <v>26</v>
      </c>
      <c r="D489" s="7">
        <v>6875</v>
      </c>
      <c r="E489" s="7">
        <v>3905</v>
      </c>
      <c r="F489" s="7" t="str">
        <f t="shared" si="7"/>
        <v>On Budget</v>
      </c>
      <c r="G489" s="7"/>
    </row>
    <row r="490" spans="1:7" x14ac:dyDescent="0.25">
      <c r="A490" s="7" t="s">
        <v>11</v>
      </c>
      <c r="B490" s="7" t="s">
        <v>13</v>
      </c>
      <c r="C490" s="7" t="s">
        <v>29</v>
      </c>
      <c r="D490" s="7">
        <v>8199</v>
      </c>
      <c r="E490" s="7">
        <v>2334</v>
      </c>
      <c r="F490" s="7" t="str">
        <f t="shared" si="7"/>
        <v>On Budget</v>
      </c>
      <c r="G490" s="7" t="s">
        <v>33</v>
      </c>
    </row>
    <row r="491" spans="1:7" x14ac:dyDescent="0.25">
      <c r="A491" s="7" t="s">
        <v>12</v>
      </c>
      <c r="B491" s="7" t="s">
        <v>17</v>
      </c>
      <c r="C491" s="7" t="s">
        <v>31</v>
      </c>
      <c r="D491" s="7">
        <v>3506</v>
      </c>
      <c r="E491" s="7">
        <v>10767</v>
      </c>
      <c r="F491" s="7" t="str">
        <f t="shared" si="7"/>
        <v>Over Budget</v>
      </c>
      <c r="G491" s="7" t="s">
        <v>34</v>
      </c>
    </row>
    <row r="492" spans="1:7" x14ac:dyDescent="0.25">
      <c r="A492" s="7" t="s">
        <v>11</v>
      </c>
      <c r="B492" s="7" t="s">
        <v>16</v>
      </c>
      <c r="C492" s="7" t="s">
        <v>28</v>
      </c>
      <c r="D492" s="7">
        <v>8504</v>
      </c>
      <c r="E492" s="7">
        <v>7247</v>
      </c>
      <c r="F492" s="7" t="str">
        <f t="shared" si="7"/>
        <v>On Budget</v>
      </c>
      <c r="G492" s="7"/>
    </row>
    <row r="493" spans="1:7" x14ac:dyDescent="0.25">
      <c r="A493" s="7" t="s">
        <v>10</v>
      </c>
      <c r="B493" s="7" t="s">
        <v>14</v>
      </c>
      <c r="C493" s="7" t="s">
        <v>25</v>
      </c>
      <c r="D493" s="7">
        <v>4924</v>
      </c>
      <c r="E493" s="7">
        <v>2580</v>
      </c>
      <c r="F493" s="7" t="str">
        <f t="shared" si="7"/>
        <v>On Budget</v>
      </c>
      <c r="G493" s="7" t="s">
        <v>32</v>
      </c>
    </row>
    <row r="494" spans="1:7" x14ac:dyDescent="0.25">
      <c r="A494" s="7" t="s">
        <v>7</v>
      </c>
      <c r="B494" s="7" t="s">
        <v>14</v>
      </c>
      <c r="C494" s="7" t="s">
        <v>22</v>
      </c>
      <c r="D494" s="7">
        <v>8293</v>
      </c>
      <c r="E494" s="7">
        <v>8071</v>
      </c>
      <c r="F494" s="7" t="str">
        <f t="shared" si="7"/>
        <v>On Budget</v>
      </c>
      <c r="G494" s="7" t="s">
        <v>34</v>
      </c>
    </row>
    <row r="495" spans="1:7" x14ac:dyDescent="0.25">
      <c r="A495" s="7" t="s">
        <v>9</v>
      </c>
      <c r="B495" s="7" t="s">
        <v>13</v>
      </c>
      <c r="C495" s="7" t="s">
        <v>23</v>
      </c>
      <c r="D495" s="7">
        <v>2366</v>
      </c>
      <c r="E495" s="7">
        <v>8083</v>
      </c>
      <c r="F495" s="7" t="str">
        <f t="shared" si="7"/>
        <v>Over Budget</v>
      </c>
      <c r="G495" s="7" t="s">
        <v>34</v>
      </c>
    </row>
    <row r="496" spans="1:7" x14ac:dyDescent="0.25">
      <c r="A496" s="7" t="s">
        <v>11</v>
      </c>
      <c r="B496" s="7" t="s">
        <v>13</v>
      </c>
      <c r="C496" s="7" t="s">
        <v>21</v>
      </c>
      <c r="D496" s="7">
        <v>1055</v>
      </c>
      <c r="E496" s="7">
        <v>7854</v>
      </c>
      <c r="F496" s="7" t="str">
        <f t="shared" si="7"/>
        <v>Over Budget</v>
      </c>
      <c r="G496" s="7" t="s">
        <v>33</v>
      </c>
    </row>
    <row r="497" spans="1:7" x14ac:dyDescent="0.25">
      <c r="A497" s="7" t="s">
        <v>11</v>
      </c>
      <c r="B497" s="7" t="s">
        <v>14</v>
      </c>
      <c r="C497" s="7" t="s">
        <v>21</v>
      </c>
      <c r="D497" s="7">
        <v>5784</v>
      </c>
      <c r="E497" s="7">
        <v>11503</v>
      </c>
      <c r="F497" s="7" t="str">
        <f t="shared" si="7"/>
        <v>Over Budget</v>
      </c>
      <c r="G497" s="7"/>
    </row>
    <row r="498" spans="1:7" x14ac:dyDescent="0.25">
      <c r="A498" s="7" t="s">
        <v>11</v>
      </c>
      <c r="B498" s="7" t="s">
        <v>17</v>
      </c>
      <c r="C498" s="7" t="s">
        <v>29</v>
      </c>
      <c r="D498" s="7">
        <v>8638</v>
      </c>
      <c r="E498" s="7">
        <v>7748</v>
      </c>
      <c r="F498" s="7" t="str">
        <f t="shared" si="7"/>
        <v>On Budget</v>
      </c>
      <c r="G498" s="7" t="s">
        <v>33</v>
      </c>
    </row>
    <row r="499" spans="1:7" x14ac:dyDescent="0.25">
      <c r="A499" s="7" t="s">
        <v>6</v>
      </c>
      <c r="B499" s="7" t="s">
        <v>15</v>
      </c>
      <c r="C499" s="7" t="s">
        <v>31</v>
      </c>
      <c r="D499" s="7">
        <v>5719</v>
      </c>
      <c r="E499" s="7">
        <v>2390</v>
      </c>
      <c r="F499" s="7" t="str">
        <f t="shared" si="7"/>
        <v>On Budget</v>
      </c>
      <c r="G499" s="7" t="s">
        <v>32</v>
      </c>
    </row>
    <row r="500" spans="1:7" x14ac:dyDescent="0.25">
      <c r="A500" s="7" t="s">
        <v>9</v>
      </c>
      <c r="B500" s="7" t="s">
        <v>17</v>
      </c>
      <c r="C500" s="7" t="s">
        <v>24</v>
      </c>
      <c r="D500" s="7">
        <v>8122</v>
      </c>
      <c r="E500" s="7">
        <v>4536</v>
      </c>
      <c r="F500" s="7" t="str">
        <f t="shared" si="7"/>
        <v>On Budget</v>
      </c>
      <c r="G500" s="7" t="s">
        <v>34</v>
      </c>
    </row>
    <row r="501" spans="1:7" x14ac:dyDescent="0.25">
      <c r="A501" s="7" t="s">
        <v>6</v>
      </c>
      <c r="B501" s="7" t="s">
        <v>18</v>
      </c>
      <c r="C501" s="7" t="s">
        <v>26</v>
      </c>
      <c r="D501" s="7">
        <v>9498</v>
      </c>
      <c r="E501" s="7">
        <v>2157</v>
      </c>
      <c r="F501" s="7" t="str">
        <f t="shared" si="7"/>
        <v>On Budget</v>
      </c>
      <c r="G501" s="7"/>
    </row>
  </sheetData>
  <conditionalFormatting sqref="E2">
    <cfRule type="expression" dxfId="2" priority="3">
      <formula>E2&gt;D2*1.2</formula>
    </cfRule>
  </conditionalFormatting>
  <conditionalFormatting sqref="E3:E501">
    <cfRule type="expression" dxfId="0" priority="1">
      <formula>E3&gt;D3*1.2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Expense_Data</vt:lpstr>
      <vt:lpstr>Expense_Data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2025-07-19T21:35:22Z</dcterms:created>
  <dcterms:modified xsi:type="dcterms:W3CDTF">2026-03-31T09:41:13Z</dcterms:modified>
</cp:coreProperties>
</file>